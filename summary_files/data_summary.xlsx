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01eco\Documents\Programming\Python\multisource_ML_research\summary_files\"/>
    </mc:Choice>
  </mc:AlternateContent>
  <xr:revisionPtr revIDLastSave="0" documentId="13_ncr:1_{1FFE645E-3784-4976-883C-8BF2A6F700B4}" xr6:coauthVersionLast="47" xr6:coauthVersionMax="47" xr10:uidLastSave="{00000000-0000-0000-0000-000000000000}"/>
  <bookViews>
    <workbookView xWindow="38280" yWindow="3015" windowWidth="29040" windowHeight="15720" xr2:uid="{00000000-000D-0000-FFFF-FFFF00000000}"/>
  </bookViews>
  <sheets>
    <sheet name="Summary" sheetId="1" r:id="rId1"/>
    <sheet name="DataInfo" sheetId="2" r:id="rId2"/>
  </sheets>
  <definedNames>
    <definedName name="_xlnm._FilterDatabase" localSheetId="0">Summary!$A$1:$Z$71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2" i="1" l="1"/>
  <c r="AA52" i="1"/>
  <c r="M2" i="1"/>
  <c r="M3" i="1"/>
  <c r="M4" i="1"/>
  <c r="M5" i="1"/>
  <c r="M6" i="1"/>
  <c r="M7" i="1"/>
  <c r="M8" i="1"/>
  <c r="M9" i="1"/>
  <c r="M10" i="1"/>
  <c r="M12" i="1"/>
  <c r="M13" i="1"/>
  <c r="M14" i="1"/>
  <c r="M15" i="1"/>
  <c r="M16" i="1"/>
  <c r="M17" i="1"/>
  <c r="M18" i="1"/>
  <c r="M19" i="1"/>
  <c r="M20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11" i="1"/>
  <c r="M21" i="1"/>
  <c r="M53" i="1"/>
  <c r="AA53" i="1"/>
  <c r="AA21" i="1"/>
  <c r="AA11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1" i="1"/>
  <c r="AA50" i="1"/>
  <c r="AA49" i="1"/>
  <c r="AA48" i="1"/>
  <c r="AA47" i="1"/>
  <c r="AA46" i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0" i="1"/>
  <c r="AA19" i="1"/>
  <c r="AA18" i="1"/>
  <c r="AA17" i="1"/>
  <c r="AA16" i="1"/>
  <c r="AA15" i="1"/>
  <c r="AA14" i="1"/>
  <c r="AA13" i="1"/>
  <c r="AA12" i="1"/>
  <c r="AA10" i="1"/>
  <c r="AA9" i="1"/>
  <c r="AA8" i="1"/>
  <c r="AA7" i="1"/>
  <c r="AA6" i="1"/>
  <c r="AA5" i="1"/>
  <c r="AA4" i="1"/>
  <c r="AA3" i="1"/>
  <c r="AA2" i="1"/>
</calcChain>
</file>

<file path=xl/sharedStrings.xml><?xml version="1.0" encoding="utf-8"?>
<sst xmlns="http://schemas.openxmlformats.org/spreadsheetml/2006/main" count="814" uniqueCount="180">
  <si>
    <t>Eye tracking? (Y/N)</t>
  </si>
  <si>
    <t>Count of Order</t>
  </si>
  <si>
    <t>N</t>
  </si>
  <si>
    <t>Y</t>
  </si>
  <si>
    <t>(blank)</t>
  </si>
  <si>
    <t>Order</t>
  </si>
  <si>
    <t>HazardOrder</t>
  </si>
  <si>
    <t>participant_id</t>
  </si>
  <si>
    <t>Random ID</t>
  </si>
  <si>
    <t>AgeStart</t>
  </si>
  <si>
    <t>Licence</t>
  </si>
  <si>
    <t>LastDrove</t>
  </si>
  <si>
    <t>DrivingTypicalLength</t>
  </si>
  <si>
    <t>AvgKM</t>
  </si>
  <si>
    <t>Type</t>
  </si>
  <si>
    <t>CurrentAge</t>
  </si>
  <si>
    <t>Education</t>
  </si>
  <si>
    <t>Gender</t>
  </si>
  <si>
    <t>Tmaj</t>
  </si>
  <si>
    <t>Signalized</t>
  </si>
  <si>
    <t>Tmin</t>
  </si>
  <si>
    <t>HalfSig</t>
  </si>
  <si>
    <t>ltmajor_collision</t>
  </si>
  <si>
    <t>ltsig_collision</t>
  </si>
  <si>
    <t>ltminor_collision</t>
  </si>
  <si>
    <t>lthalf_collision</t>
  </si>
  <si>
    <t>Looking Away From Mirror (s) (Tobii)</t>
  </si>
  <si>
    <t>Looking Away From Mirror (s) (SCANeR Recording)</t>
  </si>
  <si>
    <t>Notes:</t>
  </si>
  <si>
    <t>G</t>
  </si>
  <si>
    <t xml:space="preserve">More than 1 week ago </t>
  </si>
  <si>
    <t xml:space="preserve">Between 15 and 30 minutes </t>
  </si>
  <si>
    <t xml:space="preserve">High school diploma </t>
  </si>
  <si>
    <t>Female</t>
  </si>
  <si>
    <t>N/A ambient traffic blocking hazard</t>
  </si>
  <si>
    <t>went though yellow, accelerated, near miss</t>
  </si>
  <si>
    <t>started to go, no collision</t>
  </si>
  <si>
    <t>stopped for the yellow, no collision</t>
  </si>
  <si>
    <t xml:space="preserve">Within the last 24 hours </t>
  </si>
  <si>
    <t xml:space="preserve">Less than 15 minutes </t>
  </si>
  <si>
    <t xml:space="preserve">Graduate diploma </t>
  </si>
  <si>
    <t>Started to go, stopped for hazard, no collision</t>
  </si>
  <si>
    <t>Stopped for yellow, no collision</t>
  </si>
  <si>
    <t>Stopped and waited, no collision</t>
  </si>
  <si>
    <t>went through yellow, swerved to avoid collision</t>
  </si>
  <si>
    <t>G2</t>
  </si>
  <si>
    <t>Within the last week</t>
  </si>
  <si>
    <t>Between 15 and 30 minutes</t>
  </si>
  <si>
    <t>Urban</t>
  </si>
  <si>
    <t>Highschool Diploma</t>
  </si>
  <si>
    <t>Started to go, stopped and waited for hazard, no collision</t>
  </si>
  <si>
    <t>Stopped for yellow, no collision (cross traffic slowed participant prior to yellow)</t>
  </si>
  <si>
    <t>went through intersection, collision</t>
  </si>
  <si>
    <t>went through yellow, accelerated, near miss</t>
  </si>
  <si>
    <t xml:space="preserve">went through yellow, near miss, no collision </t>
  </si>
  <si>
    <t>went through yellow, swerve to avoid colliison</t>
  </si>
  <si>
    <t>College diploma</t>
  </si>
  <si>
    <t>Male</t>
  </si>
  <si>
    <t>started to go, then stopped and waited for hazard vehicle</t>
  </si>
  <si>
    <t>tried to stop, then accelerated through intersection, near miss</t>
  </si>
  <si>
    <t>started to go, then stopped for hazard, no collision</t>
  </si>
  <si>
    <t>went through yellow, swerved, near miss</t>
  </si>
  <si>
    <t xml:space="preserve">More than 24 hours, but less than 2 days </t>
  </si>
  <si>
    <t xml:space="preserve">Undergraduate diploma </t>
  </si>
  <si>
    <t>Stopped and waited for hazard, no collision</t>
  </si>
  <si>
    <t>Went through yellow, no collision</t>
  </si>
  <si>
    <t>stopped and waited for hazard, no collision</t>
  </si>
  <si>
    <t>Within the last 24 hours</t>
  </si>
  <si>
    <t>Rural</t>
  </si>
  <si>
    <t>Trade School</t>
  </si>
  <si>
    <t>Went trhough yellow, swerved, near miss</t>
  </si>
  <si>
    <t>Stopped for the yellow, no collision</t>
  </si>
  <si>
    <t>Between 30 minutes and 1 hour</t>
  </si>
  <si>
    <t>Went through yellow, swerved, near miss</t>
  </si>
  <si>
    <t>Started to go then stopped for hazard, no collision</t>
  </si>
  <si>
    <t>Went through intersection, collision</t>
  </si>
  <si>
    <t>Started creeping forward while hazard went past</t>
  </si>
  <si>
    <t xml:space="preserve">Between 30 minutes and 1 hour </t>
  </si>
  <si>
    <t>Accelerated through yellow, no collision</t>
  </si>
  <si>
    <t>Went through yellow, accelerated, swerved, collision</t>
  </si>
  <si>
    <t>No Response</t>
  </si>
  <si>
    <t>went through yellow, braked, collision</t>
  </si>
  <si>
    <t>More than 1 week ago</t>
  </si>
  <si>
    <t>Less than 15 minutes</t>
  </si>
  <si>
    <t>Accelerated through yellow, near miss</t>
  </si>
  <si>
    <t>???</t>
  </si>
  <si>
    <t>got to intersection before hazard and wen through intersection, no collision</t>
  </si>
  <si>
    <t>Accelerated through yellow, swerved, no collision</t>
  </si>
  <si>
    <t>accelerated though intersection, near miss</t>
  </si>
  <si>
    <t>went through yellow,</t>
  </si>
  <si>
    <t>Beat hazard to stop signs, went through stop, no collision</t>
  </si>
  <si>
    <t>went through yellow, no collision</t>
  </si>
  <si>
    <t>Mentioned she has a lazy eye</t>
  </si>
  <si>
    <t>braked to avoid collision, then went through yellow</t>
  </si>
  <si>
    <t>Went through yellow, near miss</t>
  </si>
  <si>
    <t>Undergraduate Diploma</t>
  </si>
  <si>
    <t>Went through yellow, swerved, collision</t>
  </si>
  <si>
    <t>Was still approaching stop sign when hazard went</t>
  </si>
  <si>
    <t>Went through intersection, swerved, no collision</t>
  </si>
  <si>
    <t>stopped and waited, no collision</t>
  </si>
  <si>
    <t>went through yellow, collision</t>
  </si>
  <si>
    <t>went through yellow, near miss</t>
  </si>
  <si>
    <t>Ran yellow, near miss, no collision</t>
  </si>
  <si>
    <t>Highschool diploma</t>
  </si>
  <si>
    <t>accelerated through intersection to avoid a collision</t>
  </si>
  <si>
    <t>approached the intersection super slow, waited, no collision</t>
  </si>
  <si>
    <t>I forgot to stop the recording so it continues for a while after the drive</t>
  </si>
  <si>
    <t>Withint the last 24 hours</t>
  </si>
  <si>
    <t>Stopped and went through intersection, near miss, no collision</t>
  </si>
  <si>
    <t>Started to accelerate through yellow then braked, no collision</t>
  </si>
  <si>
    <t>Didn't stop, near miss</t>
  </si>
  <si>
    <t>N/A hazard blcoked by ped crossing road</t>
  </si>
  <si>
    <t>High school diploma</t>
  </si>
  <si>
    <t>N/A, Blocked by ambient traffic</t>
  </si>
  <si>
    <t>Swerved to avoid collision</t>
  </si>
  <si>
    <t>started to go then stopped and waited for hazard vehicle</t>
  </si>
  <si>
    <t>More than 1 hour</t>
  </si>
  <si>
    <t>Highway</t>
  </si>
  <si>
    <t>Went through yellow, slight swerve, no collision</t>
  </si>
  <si>
    <t>Accelerated through yellow, swerved, near miss</t>
  </si>
  <si>
    <t>Stopped for hazard, no collision</t>
  </si>
  <si>
    <t>Accelerated through yellow,swerved,  collision</t>
  </si>
  <si>
    <t>Accelerated through yellow, swereved, collision</t>
  </si>
  <si>
    <t>Finger missed the start button on eye tracker, missed the time for mirrow glance</t>
  </si>
  <si>
    <t>Accelerated through the yellow, collision</t>
  </si>
  <si>
    <t>Started to go then stopped, no collision</t>
  </si>
  <si>
    <t>Accelerated through yellow, sweved, collision</t>
  </si>
  <si>
    <t>N/A ambient traffic blocked hazard vehicle</t>
  </si>
  <si>
    <t>accelerated through yellow, near miss, no collision</t>
  </si>
  <si>
    <t>started to go then stopped for hazard vehicle, no collision</t>
  </si>
  <si>
    <t>new</t>
  </si>
  <si>
    <t>was approaching too slowly to need to make a decision. Stopped for yellow, no collision</t>
  </si>
  <si>
    <t>slowed down before all intersections</t>
  </si>
  <si>
    <t>Accelerated through yellow, swerved, collision</t>
  </si>
  <si>
    <t>New</t>
  </si>
  <si>
    <t>Undergraduate diploma</t>
  </si>
  <si>
    <t>Started to go, braked to avoid collision</t>
  </si>
  <si>
    <t>Swerved and accelerated to avoid collision</t>
  </si>
  <si>
    <t>NA Hazard blocked by ambient traffic</t>
  </si>
  <si>
    <t>More than 24 hours but less than 2 days</t>
  </si>
  <si>
    <t>between 30 minutes and 1 hour</t>
  </si>
  <si>
    <t>the eye tracker recording is called adriel, because I initally couldn't find the survey in qualtrics</t>
  </si>
  <si>
    <t>went through yellow, accelerated to avoid collision</t>
  </si>
  <si>
    <t>was going too fast, hazard timing off</t>
  </si>
  <si>
    <t>went through yellow, swerve, colliison</t>
  </si>
  <si>
    <t>Stopped, started going then waited, no collision</t>
  </si>
  <si>
    <t>started to go then stopped for hazard, no collision</t>
  </si>
  <si>
    <t xml:space="preserve">Within the last week </t>
  </si>
  <si>
    <t xml:space="preserve">N/A- ambient traffic vehicle messed up hazard timing </t>
  </si>
  <si>
    <t>Swerved to avoid collision, didn't stop</t>
  </si>
  <si>
    <t>forgot to start eye tracker right away, so need to look for glance to driver's side mirror in video to match, under name Lauryn rather than ID</t>
  </si>
  <si>
    <t xml:space="preserve">approached intersection very slowly, waited, no collision </t>
  </si>
  <si>
    <t>stopeed for yellow, no collision</t>
  </si>
  <si>
    <t>Graduate diploma</t>
  </si>
  <si>
    <t>stared to go very slowly, no collision</t>
  </si>
  <si>
    <t>went though yellow, near miss</t>
  </si>
  <si>
    <t>Stopped for hazard, reversed to stop bar, no collision</t>
  </si>
  <si>
    <t>started to go slowly, no collision</t>
  </si>
  <si>
    <t>Went through yellow, accelerated to avoid collision</t>
  </si>
  <si>
    <t>Graduate Diploma</t>
  </si>
  <si>
    <t>accelerated through yellow, no collision</t>
  </si>
  <si>
    <t>Went through yellow, swerved, no collision</t>
  </si>
  <si>
    <t>N/A hazard didn’t go</t>
  </si>
  <si>
    <t>went through yellow, swerve, no collision</t>
  </si>
  <si>
    <t>Hazard made it to intersection way before participant</t>
  </si>
  <si>
    <t>Went through intersection, no collision (only because hazard car stopped)</t>
  </si>
  <si>
    <t>went through yellow, swerved, no collision</t>
  </si>
  <si>
    <t>Started going, accelerated through intersection, collision</t>
  </si>
  <si>
    <t>went through the yellow, swerve away (CW, collision</t>
  </si>
  <si>
    <t>More than 24 hours, but less than 2 days</t>
  </si>
  <si>
    <t>Accelerated through yellow, sweved, near miss</t>
  </si>
  <si>
    <t>MISSING VIDEOS</t>
  </si>
  <si>
    <t>Did not stop,  swerved, no collision</t>
  </si>
  <si>
    <t>MonthlyDrivingFrequency</t>
  </si>
  <si>
    <t>(6-20)</t>
  </si>
  <si>
    <t>(21-60)</t>
  </si>
  <si>
    <t>(60+)</t>
  </si>
  <si>
    <t>(0-5)</t>
  </si>
  <si>
    <t>DrivingExperience</t>
  </si>
  <si>
    <t>TimeDifferenceEtoD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</si>
</sst>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5">
    <xf numFmtId="0" fontId="0" fillId="0" borderId="0" xfId="0"/>
    <xf numFmtId="3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3" fontId="1" fillId="2" borderId="2" xfId="0" applyNumberFormat="1" applyFont="1" applyFill="1" applyBorder="1" applyAlignment="1">
      <alignment horizontal="left"/>
    </xf>
    <xf numFmtId="1" fontId="1" fillId="2" borderId="2" xfId="0" applyNumberFormat="1" applyFont="1" applyFill="1" applyBorder="1" applyAlignment="1">
      <alignment horizontal="left" wrapText="1"/>
    </xf>
    <xf numFmtId="1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 wrapText="1"/>
    </xf>
    <xf numFmtId="3" fontId="1" fillId="2" borderId="2" xfId="0" applyNumberFormat="1" applyFont="1" applyFill="1" applyBorder="1" applyAlignment="1">
      <alignment horizontal="left" wrapText="1"/>
    </xf>
    <xf numFmtId="1" fontId="1" fillId="0" borderId="1" xfId="0" applyNumberFormat="1" applyFont="1" applyBorder="1" applyAlignment="1">
      <alignment horizontal="right" wrapText="1"/>
    </xf>
    <xf numFmtId="1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1" fillId="3" borderId="2" xfId="0" applyFont="1" applyFill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3" fontId="1" fillId="3" borderId="2" xfId="0" applyNumberFormat="1" applyFont="1" applyFill="1" applyBorder="1" applyAlignment="1">
      <alignment horizontal="right" wrapText="1"/>
    </xf>
    <xf numFmtId="3" fontId="1" fillId="0" borderId="1" xfId="0" applyNumberFormat="1" applyFont="1" applyBorder="1" applyAlignment="1">
      <alignment horizontal="right" wrapText="1"/>
    </xf>
    <xf numFmtId="0" fontId="0" fillId="0" borderId="0" xfId="0" applyAlignment="1">
      <alignment wrapText="1"/>
    </xf>
    <xf numFmtId="1" fontId="1" fillId="0" borderId="1" xfId="0" applyNumberFormat="1" applyFont="1" applyBorder="1" applyAlignment="1">
      <alignment horizontal="left" wrapText="1"/>
    </xf>
    <xf numFmtId="1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 wrapText="1"/>
    </xf>
    <xf numFmtId="1" fontId="0" fillId="0" borderId="0" xfId="0" applyNumberFormat="1" applyAlignment="1">
      <alignment horizontal="left" wrapText="1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3" fontId="0" fillId="0" borderId="0" xfId="0" applyNumberFormat="1" applyAlignment="1">
      <alignment horizontal="left" wrapText="1"/>
    </xf>
    <xf numFmtId="49" fontId="0" fillId="0" borderId="0" xfId="0" applyNumberFormat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B71" totalsRowShown="0">
  <autoFilter ref="A1:AB71" xr:uid="{00000000-0009-0000-0100-000001000000}"/>
  <tableColumns count="28">
    <tableColumn id="1" xr3:uid="{00000000-0010-0000-0000-000001000000}" name="Order"/>
    <tableColumn id="2" xr3:uid="{00000000-0010-0000-0000-000002000000}" name="HazardOrder"/>
    <tableColumn id="3" xr3:uid="{00000000-0010-0000-0000-000003000000}" name="participant_id"/>
    <tableColumn id="4" xr3:uid="{00000000-0010-0000-0000-000004000000}" name="Random ID"/>
    <tableColumn id="5" xr3:uid="{00000000-0010-0000-0000-000005000000}" name="AgeStart"/>
    <tableColumn id="6" xr3:uid="{00000000-0010-0000-0000-000006000000}" name="Licence"/>
    <tableColumn id="7" xr3:uid="{00000000-0010-0000-0000-000007000000}" name="LastDrove"/>
    <tableColumn id="8" xr3:uid="{00000000-0010-0000-0000-000008000000}" name="MonthlyDrivingFrequency" dataDxfId="1"/>
    <tableColumn id="9" xr3:uid="{00000000-0010-0000-0000-000009000000}" name="DrivingTypicalLength"/>
    <tableColumn id="10" xr3:uid="{00000000-0010-0000-0000-00000A000000}" name="AvgKM"/>
    <tableColumn id="11" xr3:uid="{00000000-0010-0000-0000-00000B000000}" name="Type"/>
    <tableColumn id="12" xr3:uid="{00000000-0010-0000-0000-00000C000000}" name="CurrentAge"/>
    <tableColumn id="28" xr3:uid="{D2E7A76E-A255-4531-A907-C2950F0B6E7A}" name="DrivingExperience" dataDxfId="0">
      <calculatedColumnFormula>Table1[[#This Row],[CurrentAge]]-Table1[[#This Row],[AgeStart]]</calculatedColumnFormula>
    </tableColumn>
    <tableColumn id="13" xr3:uid="{00000000-0010-0000-0000-00000D000000}" name="Education"/>
    <tableColumn id="14" xr3:uid="{00000000-0010-0000-0000-00000E000000}" name="Gender"/>
    <tableColumn id="15" xr3:uid="{00000000-0010-0000-0000-00000F000000}" name="Tmaj"/>
    <tableColumn id="16" xr3:uid="{00000000-0010-0000-0000-000010000000}" name="Signalized"/>
    <tableColumn id="17" xr3:uid="{00000000-0010-0000-0000-000011000000}" name="Tmin"/>
    <tableColumn id="18" xr3:uid="{00000000-0010-0000-0000-000012000000}" name="HalfSig"/>
    <tableColumn id="19" xr3:uid="{00000000-0010-0000-0000-000013000000}" name="ltmajor_collision"/>
    <tableColumn id="20" xr3:uid="{00000000-0010-0000-0000-000014000000}" name="ltsig_collision"/>
    <tableColumn id="21" xr3:uid="{00000000-0010-0000-0000-000015000000}" name="ltminor_collision"/>
    <tableColumn id="22" xr3:uid="{00000000-0010-0000-0000-000016000000}" name="lthalf_collision"/>
    <tableColumn id="23" xr3:uid="{00000000-0010-0000-0000-000017000000}" name="Eye tracking? (Y/N)"/>
    <tableColumn id="24" xr3:uid="{00000000-0010-0000-0000-000018000000}" name="Looking Away From Mirror (s) (Tobii)"/>
    <tableColumn id="25" xr3:uid="{00000000-0010-0000-0000-000019000000}" name="Looking Away From Mirror (s) (SCANeR Recording)"/>
    <tableColumn id="26" xr3:uid="{00000000-0010-0000-0000-00001A000000}" name="TimeDifferenceEtoD"/>
    <tableColumn id="27" xr3:uid="{00000000-0010-0000-0000-00001B000000}" name="Notes: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B77"/>
  <sheetViews>
    <sheetView tabSelected="1" workbookViewId="0">
      <pane ySplit="1" topLeftCell="A7" activePane="bottomLeft" state="frozen"/>
      <selection pane="bottomLeft" activeCell="C12" sqref="C12"/>
    </sheetView>
  </sheetViews>
  <sheetFormatPr defaultRowHeight="15" x14ac:dyDescent="0.25"/>
  <cols>
    <col min="1" max="1" width="8.85546875" style="2" bestFit="1" customWidth="1"/>
    <col min="2" max="3" width="14.28515625" style="20" bestFit="1" customWidth="1"/>
    <col min="4" max="4" width="12.85546875" style="2" bestFit="1" customWidth="1"/>
    <col min="5" max="5" width="11" style="21" bestFit="1" customWidth="1"/>
    <col min="6" max="6" width="10.140625" bestFit="1" customWidth="1"/>
    <col min="7" max="7" width="13.5703125" hidden="1" bestFit="1" customWidth="1"/>
    <col min="8" max="8" width="33" bestFit="1" customWidth="1"/>
    <col min="9" max="9" width="34.140625" bestFit="1" customWidth="1"/>
    <col min="10" max="10" width="13.85546875" style="21" bestFit="1" customWidth="1"/>
    <col min="11" max="11" width="11.28515625" bestFit="1" customWidth="1"/>
    <col min="12" max="12" width="13.42578125" style="21" bestFit="1" customWidth="1"/>
    <col min="13" max="13" width="13.42578125" style="21" customWidth="1"/>
    <col min="14" max="14" width="26.28515625" bestFit="1" customWidth="1"/>
    <col min="15" max="15" width="10.140625" bestFit="1" customWidth="1"/>
    <col min="16" max="19" width="15.140625" style="22" bestFit="1" customWidth="1"/>
    <col min="20" max="20" width="15.140625" style="23" bestFit="1" customWidth="1"/>
    <col min="21" max="21" width="17.42578125" style="23" bestFit="1" customWidth="1"/>
    <col min="22" max="22" width="17.28515625" style="23" bestFit="1" customWidth="1"/>
    <col min="23" max="23" width="15.5703125" style="23" bestFit="1" customWidth="1"/>
    <col min="24" max="24" width="19.85546875" style="20" bestFit="1" customWidth="1"/>
    <col min="25" max="25" width="35.28515625" style="21" bestFit="1" customWidth="1"/>
    <col min="26" max="26" width="47.7109375" style="21" bestFit="1" customWidth="1"/>
    <col min="27" max="27" width="17.42578125" style="21" bestFit="1" customWidth="1"/>
    <col min="28" max="28" width="26.140625" style="16" bestFit="1" customWidth="1"/>
  </cols>
  <sheetData>
    <row r="1" spans="1:28" ht="39.950000000000003" customHeight="1" x14ac:dyDescent="0.25">
      <c r="A1" s="3" t="s">
        <v>5</v>
      </c>
      <c r="B1" s="4" t="s">
        <v>6</v>
      </c>
      <c r="C1" s="4" t="s">
        <v>7</v>
      </c>
      <c r="D1" s="3" t="s">
        <v>8</v>
      </c>
      <c r="E1" s="5" t="s">
        <v>9</v>
      </c>
      <c r="F1" s="6" t="s">
        <v>10</v>
      </c>
      <c r="G1" s="6" t="s">
        <v>11</v>
      </c>
      <c r="H1" s="6" t="s">
        <v>173</v>
      </c>
      <c r="I1" s="6" t="s">
        <v>12</v>
      </c>
      <c r="J1" s="5" t="s">
        <v>13</v>
      </c>
      <c r="K1" s="6" t="s">
        <v>14</v>
      </c>
      <c r="L1" s="5" t="s">
        <v>15</v>
      </c>
      <c r="M1" s="5" t="s">
        <v>178</v>
      </c>
      <c r="N1" s="6" t="s">
        <v>16</v>
      </c>
      <c r="O1" s="6" t="s">
        <v>17</v>
      </c>
      <c r="P1" s="7" t="s">
        <v>18</v>
      </c>
      <c r="Q1" s="7" t="s">
        <v>19</v>
      </c>
      <c r="R1" s="7" t="s">
        <v>20</v>
      </c>
      <c r="S1" s="7" t="s">
        <v>21</v>
      </c>
      <c r="T1" s="8" t="s">
        <v>22</v>
      </c>
      <c r="U1" s="8" t="s">
        <v>23</v>
      </c>
      <c r="V1" s="8" t="s">
        <v>24</v>
      </c>
      <c r="W1" s="8" t="s">
        <v>25</v>
      </c>
      <c r="X1" s="4" t="s">
        <v>0</v>
      </c>
      <c r="Y1" s="5" t="s">
        <v>26</v>
      </c>
      <c r="Z1" s="5" t="s">
        <v>27</v>
      </c>
      <c r="AA1" s="5" t="s">
        <v>179</v>
      </c>
      <c r="AB1" s="7" t="s">
        <v>28</v>
      </c>
    </row>
    <row r="2" spans="1:28" ht="60" customHeight="1" x14ac:dyDescent="0.25">
      <c r="A2" s="1">
        <v>44</v>
      </c>
      <c r="B2" s="9">
        <v>2</v>
      </c>
      <c r="C2" s="9">
        <v>0</v>
      </c>
      <c r="D2" s="1">
        <v>10327</v>
      </c>
      <c r="E2" s="10">
        <v>16</v>
      </c>
      <c r="F2" s="11" t="s">
        <v>29</v>
      </c>
      <c r="G2" t="s">
        <v>30</v>
      </c>
      <c r="H2" s="24" t="s">
        <v>174</v>
      </c>
      <c r="I2" t="s">
        <v>31</v>
      </c>
      <c r="J2" s="10">
        <v>20</v>
      </c>
      <c r="K2" t="s">
        <v>48</v>
      </c>
      <c r="L2" s="10">
        <v>21</v>
      </c>
      <c r="M2" s="10">
        <f>Table1[[#This Row],[CurrentAge]]-Table1[[#This Row],[AgeStart]]</f>
        <v>5</v>
      </c>
      <c r="N2" t="s">
        <v>32</v>
      </c>
      <c r="O2" t="s">
        <v>33</v>
      </c>
      <c r="P2" s="12" t="s">
        <v>34</v>
      </c>
      <c r="Q2" s="13" t="s">
        <v>35</v>
      </c>
      <c r="R2" s="13" t="s">
        <v>36</v>
      </c>
      <c r="S2" s="13" t="s">
        <v>37</v>
      </c>
      <c r="T2" s="14">
        <v>-1</v>
      </c>
      <c r="U2" s="15">
        <v>1</v>
      </c>
      <c r="V2" s="15">
        <v>0</v>
      </c>
      <c r="W2" s="15">
        <v>0</v>
      </c>
      <c r="X2" s="9">
        <v>1</v>
      </c>
      <c r="Y2" s="10">
        <v>7</v>
      </c>
      <c r="Z2" s="10">
        <v>6</v>
      </c>
      <c r="AA2" s="10">
        <f t="shared" ref="AA2:AA33" si="0">Y2-Z2</f>
        <v>1</v>
      </c>
    </row>
    <row r="3" spans="1:28" ht="60" customHeight="1" x14ac:dyDescent="0.25">
      <c r="A3" s="1">
        <v>59</v>
      </c>
      <c r="B3" s="9">
        <v>3</v>
      </c>
      <c r="C3" s="9">
        <v>1</v>
      </c>
      <c r="D3" s="1">
        <v>11085</v>
      </c>
      <c r="E3" s="10">
        <v>16</v>
      </c>
      <c r="F3" s="11" t="s">
        <v>29</v>
      </c>
      <c r="G3" t="s">
        <v>38</v>
      </c>
      <c r="H3" s="24" t="s">
        <v>175</v>
      </c>
      <c r="I3" t="s">
        <v>39</v>
      </c>
      <c r="J3" s="10">
        <v>5</v>
      </c>
      <c r="K3" t="s">
        <v>48</v>
      </c>
      <c r="L3" s="10">
        <v>57</v>
      </c>
      <c r="M3" s="10">
        <f>Table1[[#This Row],[CurrentAge]]-Table1[[#This Row],[AgeStart]]</f>
        <v>41</v>
      </c>
      <c r="N3" t="s">
        <v>40</v>
      </c>
      <c r="O3" t="s">
        <v>33</v>
      </c>
      <c r="P3" s="13" t="s">
        <v>41</v>
      </c>
      <c r="Q3" s="13" t="s">
        <v>42</v>
      </c>
      <c r="R3" s="13" t="s">
        <v>43</v>
      </c>
      <c r="S3" s="13" t="s">
        <v>44</v>
      </c>
      <c r="T3" s="15">
        <v>0</v>
      </c>
      <c r="U3" s="15">
        <v>0</v>
      </c>
      <c r="V3" s="15">
        <v>0</v>
      </c>
      <c r="W3" s="15">
        <v>1</v>
      </c>
      <c r="X3" s="9">
        <v>1</v>
      </c>
      <c r="Y3" s="10">
        <v>8</v>
      </c>
      <c r="Z3" s="10">
        <v>8</v>
      </c>
      <c r="AA3" s="10">
        <f t="shared" si="0"/>
        <v>0</v>
      </c>
    </row>
    <row r="4" spans="1:28" ht="87" customHeight="1" x14ac:dyDescent="0.25">
      <c r="A4" s="1">
        <v>74</v>
      </c>
      <c r="B4" s="9">
        <v>0</v>
      </c>
      <c r="C4" s="9">
        <v>2</v>
      </c>
      <c r="D4" s="1">
        <v>11868</v>
      </c>
      <c r="E4" s="10">
        <v>16</v>
      </c>
      <c r="F4" s="11" t="s">
        <v>45</v>
      </c>
      <c r="G4" t="s">
        <v>46</v>
      </c>
      <c r="H4" s="24" t="s">
        <v>174</v>
      </c>
      <c r="I4" t="s">
        <v>47</v>
      </c>
      <c r="J4" s="10">
        <v>30</v>
      </c>
      <c r="K4" t="s">
        <v>48</v>
      </c>
      <c r="L4" s="10">
        <v>19</v>
      </c>
      <c r="M4" s="10">
        <f>Table1[[#This Row],[CurrentAge]]-Table1[[#This Row],[AgeStart]]</f>
        <v>3</v>
      </c>
      <c r="N4" t="s">
        <v>49</v>
      </c>
      <c r="O4" t="s">
        <v>33</v>
      </c>
      <c r="P4" s="13" t="s">
        <v>50</v>
      </c>
      <c r="Q4" s="13" t="s">
        <v>51</v>
      </c>
      <c r="R4" s="13" t="s">
        <v>52</v>
      </c>
      <c r="S4" s="13" t="s">
        <v>53</v>
      </c>
      <c r="T4" s="15">
        <v>0</v>
      </c>
      <c r="U4" s="15">
        <v>0</v>
      </c>
      <c r="V4" s="15">
        <v>2</v>
      </c>
      <c r="W4" s="15">
        <v>1</v>
      </c>
      <c r="X4" s="9">
        <v>1</v>
      </c>
      <c r="Y4" s="10">
        <v>5</v>
      </c>
      <c r="Z4" s="10">
        <v>7</v>
      </c>
      <c r="AA4" s="10">
        <f t="shared" si="0"/>
        <v>-2</v>
      </c>
    </row>
    <row r="5" spans="1:28" ht="60" customHeight="1" x14ac:dyDescent="0.25">
      <c r="A5" s="1">
        <v>26</v>
      </c>
      <c r="B5" s="9">
        <v>0</v>
      </c>
      <c r="C5" s="9">
        <v>3</v>
      </c>
      <c r="D5" s="1">
        <v>12471</v>
      </c>
      <c r="E5" s="10">
        <v>16</v>
      </c>
      <c r="F5" s="11" t="s">
        <v>45</v>
      </c>
      <c r="G5" t="s">
        <v>38</v>
      </c>
      <c r="H5" s="24" t="s">
        <v>176</v>
      </c>
      <c r="I5" t="s">
        <v>39</v>
      </c>
      <c r="J5" s="10">
        <v>6</v>
      </c>
      <c r="K5" t="s">
        <v>117</v>
      </c>
      <c r="L5" s="10">
        <v>19</v>
      </c>
      <c r="M5" s="10">
        <f>Table1[[#This Row],[CurrentAge]]-Table1[[#This Row],[AgeStart]]</f>
        <v>3</v>
      </c>
      <c r="N5" t="s">
        <v>32</v>
      </c>
      <c r="O5" t="s">
        <v>33</v>
      </c>
      <c r="P5" s="13" t="s">
        <v>43</v>
      </c>
      <c r="Q5" s="13" t="s">
        <v>54</v>
      </c>
      <c r="R5" s="13" t="s">
        <v>41</v>
      </c>
      <c r="S5" s="13" t="s">
        <v>55</v>
      </c>
      <c r="T5" s="15">
        <v>0</v>
      </c>
      <c r="U5" s="15">
        <v>0</v>
      </c>
      <c r="V5" s="15">
        <v>0</v>
      </c>
      <c r="W5" s="15">
        <v>1</v>
      </c>
      <c r="X5" s="9">
        <v>1</v>
      </c>
      <c r="Y5" s="10">
        <v>5</v>
      </c>
      <c r="Z5" s="10">
        <v>6</v>
      </c>
      <c r="AA5" s="10">
        <f t="shared" si="0"/>
        <v>-1</v>
      </c>
    </row>
    <row r="6" spans="1:28" ht="87" customHeight="1" x14ac:dyDescent="0.25">
      <c r="A6" s="1">
        <v>56</v>
      </c>
      <c r="B6" s="9">
        <v>0</v>
      </c>
      <c r="C6" s="9">
        <v>4</v>
      </c>
      <c r="D6" s="1">
        <v>14732</v>
      </c>
      <c r="E6" s="10">
        <v>16</v>
      </c>
      <c r="F6" s="11" t="s">
        <v>29</v>
      </c>
      <c r="G6" t="s">
        <v>38</v>
      </c>
      <c r="H6" s="24" t="s">
        <v>176</v>
      </c>
      <c r="I6" t="s">
        <v>31</v>
      </c>
      <c r="J6" s="10">
        <v>15</v>
      </c>
      <c r="K6" t="s">
        <v>48</v>
      </c>
      <c r="L6" s="10">
        <v>58</v>
      </c>
      <c r="M6" s="10">
        <f>Table1[[#This Row],[CurrentAge]]-Table1[[#This Row],[AgeStart]]</f>
        <v>42</v>
      </c>
      <c r="N6" t="s">
        <v>56</v>
      </c>
      <c r="O6" t="s">
        <v>57</v>
      </c>
      <c r="P6" s="13" t="s">
        <v>58</v>
      </c>
      <c r="Q6" s="13" t="s">
        <v>59</v>
      </c>
      <c r="R6" s="13" t="s">
        <v>60</v>
      </c>
      <c r="S6" s="13" t="s">
        <v>61</v>
      </c>
      <c r="T6" s="15">
        <v>0</v>
      </c>
      <c r="U6" s="15">
        <v>1</v>
      </c>
      <c r="V6" s="15">
        <v>0</v>
      </c>
      <c r="W6" s="15">
        <v>1</v>
      </c>
      <c r="X6" s="9">
        <v>1</v>
      </c>
      <c r="Y6" s="10">
        <v>6</v>
      </c>
      <c r="Z6" s="10">
        <v>5</v>
      </c>
      <c r="AA6" s="10">
        <f t="shared" si="0"/>
        <v>1</v>
      </c>
    </row>
    <row r="7" spans="1:28" ht="60" customHeight="1" x14ac:dyDescent="0.25">
      <c r="A7" s="1">
        <v>55</v>
      </c>
      <c r="B7" s="9">
        <v>3</v>
      </c>
      <c r="C7" s="9">
        <v>5</v>
      </c>
      <c r="D7" s="1">
        <v>17381</v>
      </c>
      <c r="E7" s="10">
        <v>16</v>
      </c>
      <c r="F7" s="11" t="s">
        <v>29</v>
      </c>
      <c r="G7" t="s">
        <v>62</v>
      </c>
      <c r="H7" s="24" t="s">
        <v>174</v>
      </c>
      <c r="I7" t="s">
        <v>31</v>
      </c>
      <c r="J7" s="10">
        <v>20</v>
      </c>
      <c r="K7" t="s">
        <v>48</v>
      </c>
      <c r="L7" s="10">
        <v>55</v>
      </c>
      <c r="M7" s="10">
        <f>Table1[[#This Row],[CurrentAge]]-Table1[[#This Row],[AgeStart]]</f>
        <v>39</v>
      </c>
      <c r="N7" t="s">
        <v>63</v>
      </c>
      <c r="O7" t="s">
        <v>57</v>
      </c>
      <c r="P7" s="13" t="s">
        <v>64</v>
      </c>
      <c r="Q7" s="13" t="s">
        <v>65</v>
      </c>
      <c r="R7" s="13" t="s">
        <v>66</v>
      </c>
      <c r="S7" s="13" t="s">
        <v>61</v>
      </c>
      <c r="T7" s="15">
        <v>0</v>
      </c>
      <c r="U7" s="15">
        <v>0</v>
      </c>
      <c r="V7" s="15">
        <v>0</v>
      </c>
      <c r="W7" s="15">
        <v>1</v>
      </c>
      <c r="X7" s="9">
        <v>1</v>
      </c>
      <c r="Y7" s="10">
        <v>8</v>
      </c>
      <c r="Z7" s="10">
        <v>5</v>
      </c>
      <c r="AA7" s="10">
        <f t="shared" si="0"/>
        <v>3</v>
      </c>
    </row>
    <row r="8" spans="1:28" ht="60" customHeight="1" x14ac:dyDescent="0.25">
      <c r="A8" s="1">
        <v>17</v>
      </c>
      <c r="B8" s="9">
        <v>1</v>
      </c>
      <c r="C8" s="9">
        <v>6</v>
      </c>
      <c r="D8" s="1">
        <v>18514</v>
      </c>
      <c r="E8" s="10">
        <v>16</v>
      </c>
      <c r="F8" s="11" t="s">
        <v>29</v>
      </c>
      <c r="G8" t="s">
        <v>67</v>
      </c>
      <c r="H8" s="24" t="s">
        <v>176</v>
      </c>
      <c r="I8" t="s">
        <v>47</v>
      </c>
      <c r="J8" s="10">
        <v>50</v>
      </c>
      <c r="K8" t="s">
        <v>68</v>
      </c>
      <c r="L8" s="10">
        <v>51</v>
      </c>
      <c r="M8" s="10">
        <f>Table1[[#This Row],[CurrentAge]]-Table1[[#This Row],[AgeStart]]</f>
        <v>35</v>
      </c>
      <c r="N8" t="s">
        <v>69</v>
      </c>
      <c r="O8" t="s">
        <v>57</v>
      </c>
      <c r="P8" s="13" t="s">
        <v>43</v>
      </c>
      <c r="Q8" s="13" t="s">
        <v>70</v>
      </c>
      <c r="R8" s="13" t="s">
        <v>43</v>
      </c>
      <c r="S8" s="13" t="s">
        <v>71</v>
      </c>
      <c r="T8" s="15">
        <v>0</v>
      </c>
      <c r="U8" s="15">
        <v>1</v>
      </c>
      <c r="V8" s="15">
        <v>0</v>
      </c>
      <c r="W8" s="15">
        <v>0</v>
      </c>
      <c r="X8" s="9">
        <v>1</v>
      </c>
      <c r="Y8" s="10">
        <v>5</v>
      </c>
      <c r="Z8" s="9">
        <v>7</v>
      </c>
      <c r="AA8" s="10">
        <f t="shared" si="0"/>
        <v>-2</v>
      </c>
    </row>
    <row r="9" spans="1:28" ht="60" customHeight="1" x14ac:dyDescent="0.25">
      <c r="A9" s="1">
        <v>54</v>
      </c>
      <c r="B9" s="9">
        <v>2</v>
      </c>
      <c r="C9" s="9">
        <v>7</v>
      </c>
      <c r="D9" s="1">
        <v>19733</v>
      </c>
      <c r="E9" s="10">
        <v>16</v>
      </c>
      <c r="F9" s="11" t="s">
        <v>45</v>
      </c>
      <c r="G9" t="s">
        <v>46</v>
      </c>
      <c r="H9" s="24" t="s">
        <v>174</v>
      </c>
      <c r="I9" t="s">
        <v>72</v>
      </c>
      <c r="J9" s="10">
        <v>50</v>
      </c>
      <c r="K9" t="s">
        <v>48</v>
      </c>
      <c r="L9" s="10">
        <v>17</v>
      </c>
      <c r="M9" s="10">
        <f>Table1[[#This Row],[CurrentAge]]-Table1[[#This Row],[AgeStart]]</f>
        <v>1</v>
      </c>
      <c r="N9" t="s">
        <v>49</v>
      </c>
      <c r="O9" t="s">
        <v>57</v>
      </c>
      <c r="P9" s="13" t="s">
        <v>64</v>
      </c>
      <c r="Q9" s="13" t="s">
        <v>42</v>
      </c>
      <c r="R9" s="13" t="s">
        <v>66</v>
      </c>
      <c r="S9" s="13" t="s">
        <v>73</v>
      </c>
      <c r="T9" s="15">
        <v>0</v>
      </c>
      <c r="U9" s="15">
        <v>0</v>
      </c>
      <c r="V9" s="15">
        <v>0</v>
      </c>
      <c r="W9" s="15">
        <v>1</v>
      </c>
      <c r="X9" s="9">
        <v>1</v>
      </c>
      <c r="Y9" s="10">
        <v>6</v>
      </c>
      <c r="Z9" s="10">
        <v>10</v>
      </c>
      <c r="AA9" s="10">
        <f t="shared" si="0"/>
        <v>-4</v>
      </c>
    </row>
    <row r="10" spans="1:28" ht="73.5" customHeight="1" x14ac:dyDescent="0.25">
      <c r="A10" s="1">
        <v>12</v>
      </c>
      <c r="B10" s="9">
        <v>1</v>
      </c>
      <c r="C10" s="9">
        <v>8</v>
      </c>
      <c r="D10" s="1">
        <v>20116</v>
      </c>
      <c r="E10" s="10">
        <v>16</v>
      </c>
      <c r="F10" s="11" t="s">
        <v>29</v>
      </c>
      <c r="G10" t="s">
        <v>46</v>
      </c>
      <c r="H10" s="24" t="s">
        <v>174</v>
      </c>
      <c r="I10" t="s">
        <v>47</v>
      </c>
      <c r="J10" s="10">
        <v>16</v>
      </c>
      <c r="K10" t="s">
        <v>68</v>
      </c>
      <c r="L10" s="10">
        <v>21</v>
      </c>
      <c r="M10" s="10">
        <f>Table1[[#This Row],[CurrentAge]]-Table1[[#This Row],[AgeStart]]</f>
        <v>5</v>
      </c>
      <c r="N10" t="s">
        <v>49</v>
      </c>
      <c r="O10" t="s">
        <v>33</v>
      </c>
      <c r="P10" s="13" t="s">
        <v>74</v>
      </c>
      <c r="Q10" s="13" t="s">
        <v>75</v>
      </c>
      <c r="R10" s="13" t="s">
        <v>76</v>
      </c>
      <c r="S10" s="13" t="s">
        <v>71</v>
      </c>
      <c r="T10" s="15">
        <v>0</v>
      </c>
      <c r="U10" s="15">
        <v>2</v>
      </c>
      <c r="V10" s="15">
        <v>0</v>
      </c>
      <c r="W10" s="15">
        <v>0</v>
      </c>
      <c r="X10" s="9">
        <v>1</v>
      </c>
      <c r="Y10" s="10">
        <v>1</v>
      </c>
      <c r="Z10" s="9">
        <v>5</v>
      </c>
      <c r="AA10" s="10">
        <f t="shared" si="0"/>
        <v>-4</v>
      </c>
    </row>
    <row r="11" spans="1:28" ht="20.100000000000001" customHeight="1" x14ac:dyDescent="0.25">
      <c r="A11" s="1">
        <v>66</v>
      </c>
      <c r="B11" s="9">
        <v>3</v>
      </c>
      <c r="C11" s="9">
        <v>9</v>
      </c>
      <c r="D11" s="1">
        <v>97051</v>
      </c>
      <c r="E11" s="10">
        <v>16</v>
      </c>
      <c r="F11" s="11" t="s">
        <v>29</v>
      </c>
      <c r="G11" t="s">
        <v>38</v>
      </c>
      <c r="H11" s="24" t="s">
        <v>175</v>
      </c>
      <c r="I11" t="s">
        <v>39</v>
      </c>
      <c r="J11" s="10">
        <v>3</v>
      </c>
      <c r="K11" t="s">
        <v>48</v>
      </c>
      <c r="L11" s="10">
        <v>24</v>
      </c>
      <c r="M11" s="10">
        <f>Table1[[#This Row],[CurrentAge]]-Table1[[#This Row],[AgeStart]]</f>
        <v>8</v>
      </c>
      <c r="N11" t="s">
        <v>63</v>
      </c>
      <c r="O11" t="s">
        <v>57</v>
      </c>
      <c r="P11" s="13" t="s">
        <v>64</v>
      </c>
      <c r="Q11" s="13" t="s">
        <v>101</v>
      </c>
      <c r="R11" s="13" t="s">
        <v>66</v>
      </c>
      <c r="S11" s="13" t="s">
        <v>44</v>
      </c>
      <c r="T11" s="15">
        <v>0</v>
      </c>
      <c r="U11" s="15">
        <v>1</v>
      </c>
      <c r="V11" s="15">
        <v>0</v>
      </c>
      <c r="W11" s="15">
        <v>1</v>
      </c>
      <c r="X11" s="9">
        <v>1</v>
      </c>
      <c r="Y11" s="10">
        <v>9</v>
      </c>
      <c r="Z11" s="10">
        <v>7</v>
      </c>
      <c r="AA11" s="10">
        <f>Y11-Z11</f>
        <v>2</v>
      </c>
    </row>
    <row r="12" spans="1:28" ht="73.5" customHeight="1" x14ac:dyDescent="0.25">
      <c r="A12" s="1">
        <v>69</v>
      </c>
      <c r="B12" s="9">
        <v>3</v>
      </c>
      <c r="C12" s="9">
        <v>10</v>
      </c>
      <c r="D12" s="1">
        <v>21182</v>
      </c>
      <c r="E12" s="10">
        <v>16</v>
      </c>
      <c r="F12" s="11" t="s">
        <v>45</v>
      </c>
      <c r="G12" t="s">
        <v>30</v>
      </c>
      <c r="H12" s="24" t="s">
        <v>175</v>
      </c>
      <c r="I12" t="s">
        <v>31</v>
      </c>
      <c r="J12" s="10">
        <v>10</v>
      </c>
      <c r="K12" t="s">
        <v>48</v>
      </c>
      <c r="L12" s="10">
        <v>18</v>
      </c>
      <c r="M12" s="10">
        <f>Table1[[#This Row],[CurrentAge]]-Table1[[#This Row],[AgeStart]]</f>
        <v>2</v>
      </c>
      <c r="N12" t="s">
        <v>32</v>
      </c>
      <c r="O12" t="s">
        <v>33</v>
      </c>
      <c r="P12" s="13" t="s">
        <v>64</v>
      </c>
      <c r="Q12" s="13" t="s">
        <v>42</v>
      </c>
      <c r="R12" s="13" t="s">
        <v>60</v>
      </c>
      <c r="S12" s="13" t="s">
        <v>79</v>
      </c>
      <c r="T12" s="15">
        <v>0</v>
      </c>
      <c r="U12" s="15">
        <v>0</v>
      </c>
      <c r="V12" s="15">
        <v>0</v>
      </c>
      <c r="W12" s="15">
        <v>2</v>
      </c>
      <c r="X12" s="9">
        <v>1</v>
      </c>
      <c r="Y12" s="10">
        <v>7</v>
      </c>
      <c r="Z12" s="10">
        <v>6</v>
      </c>
      <c r="AA12" s="10">
        <f t="shared" si="0"/>
        <v>1</v>
      </c>
    </row>
    <row r="13" spans="1:28" ht="46.5" customHeight="1" x14ac:dyDescent="0.25">
      <c r="A13" s="1">
        <v>4</v>
      </c>
      <c r="B13" s="9">
        <v>3</v>
      </c>
      <c r="C13" s="9">
        <v>11</v>
      </c>
      <c r="D13" s="1">
        <v>21895</v>
      </c>
      <c r="E13" s="10">
        <v>17</v>
      </c>
      <c r="F13" s="11" t="s">
        <v>29</v>
      </c>
      <c r="G13" t="s">
        <v>38</v>
      </c>
      <c r="H13" s="24" t="s">
        <v>175</v>
      </c>
      <c r="I13" t="s">
        <v>31</v>
      </c>
      <c r="J13" s="10">
        <v>15</v>
      </c>
      <c r="K13" t="s">
        <v>48</v>
      </c>
      <c r="L13" s="10">
        <v>20</v>
      </c>
      <c r="M13" s="10">
        <f>Table1[[#This Row],[CurrentAge]]-Table1[[#This Row],[AgeStart]]</f>
        <v>3</v>
      </c>
      <c r="N13" t="s">
        <v>80</v>
      </c>
      <c r="O13" t="s">
        <v>57</v>
      </c>
      <c r="P13" s="13" t="s">
        <v>43</v>
      </c>
      <c r="Q13" s="13" t="s">
        <v>78</v>
      </c>
      <c r="R13" s="13" t="s">
        <v>43</v>
      </c>
      <c r="S13" s="13" t="s">
        <v>81</v>
      </c>
      <c r="T13" s="15">
        <v>0</v>
      </c>
      <c r="U13" s="15">
        <v>0</v>
      </c>
      <c r="V13" s="15">
        <v>0</v>
      </c>
      <c r="W13" s="15">
        <v>2</v>
      </c>
      <c r="X13" s="9">
        <v>1</v>
      </c>
      <c r="Y13" s="10">
        <v>4</v>
      </c>
      <c r="Z13" s="9">
        <v>5</v>
      </c>
      <c r="AA13" s="10">
        <f t="shared" si="0"/>
        <v>-1</v>
      </c>
    </row>
    <row r="14" spans="1:28" ht="60" customHeight="1" x14ac:dyDescent="0.25">
      <c r="A14" s="1">
        <v>49</v>
      </c>
      <c r="B14" s="9">
        <v>0</v>
      </c>
      <c r="C14" s="9">
        <v>12</v>
      </c>
      <c r="D14" s="1">
        <v>22013</v>
      </c>
      <c r="E14" s="10">
        <v>16</v>
      </c>
      <c r="F14" s="11" t="s">
        <v>45</v>
      </c>
      <c r="G14" t="s">
        <v>82</v>
      </c>
      <c r="H14" s="24" t="s">
        <v>174</v>
      </c>
      <c r="I14" t="s">
        <v>83</v>
      </c>
      <c r="J14" s="10">
        <v>20</v>
      </c>
      <c r="K14" t="s">
        <v>68</v>
      </c>
      <c r="L14" s="10">
        <v>19</v>
      </c>
      <c r="M14" s="10">
        <f>Table1[[#This Row],[CurrentAge]]-Table1[[#This Row],[AgeStart]]</f>
        <v>3</v>
      </c>
      <c r="N14" t="s">
        <v>49</v>
      </c>
      <c r="O14" t="s">
        <v>33</v>
      </c>
      <c r="P14" s="13" t="s">
        <v>58</v>
      </c>
      <c r="Q14" s="13" t="s">
        <v>71</v>
      </c>
      <c r="R14" s="13" t="s">
        <v>66</v>
      </c>
      <c r="S14" s="13" t="s">
        <v>84</v>
      </c>
      <c r="T14" s="15">
        <v>0</v>
      </c>
      <c r="U14" s="15">
        <v>0</v>
      </c>
      <c r="V14" s="15">
        <v>0</v>
      </c>
      <c r="W14" s="15">
        <v>1</v>
      </c>
      <c r="X14" s="9">
        <v>1</v>
      </c>
      <c r="Y14" s="10">
        <v>7</v>
      </c>
      <c r="Z14" s="10">
        <v>12</v>
      </c>
      <c r="AA14" s="10">
        <f t="shared" si="0"/>
        <v>-5</v>
      </c>
      <c r="AB14" s="16" t="s">
        <v>85</v>
      </c>
    </row>
    <row r="15" spans="1:28" ht="100.5" customHeight="1" x14ac:dyDescent="0.25">
      <c r="A15" s="1">
        <v>72</v>
      </c>
      <c r="B15" s="9">
        <v>2</v>
      </c>
      <c r="C15" s="9">
        <v>13</v>
      </c>
      <c r="D15" s="1">
        <v>22446</v>
      </c>
      <c r="E15" s="10">
        <v>16</v>
      </c>
      <c r="F15" s="11" t="s">
        <v>29</v>
      </c>
      <c r="G15" t="s">
        <v>38</v>
      </c>
      <c r="H15" s="24" t="s">
        <v>175</v>
      </c>
      <c r="I15" t="s">
        <v>39</v>
      </c>
      <c r="J15" s="10">
        <v>6</v>
      </c>
      <c r="K15" t="s">
        <v>48</v>
      </c>
      <c r="L15" s="10">
        <v>23</v>
      </c>
      <c r="M15" s="10">
        <f>Table1[[#This Row],[CurrentAge]]-Table1[[#This Row],[AgeStart]]</f>
        <v>7</v>
      </c>
      <c r="N15" t="s">
        <v>63</v>
      </c>
      <c r="O15" t="s">
        <v>33</v>
      </c>
      <c r="P15" s="13" t="s">
        <v>86</v>
      </c>
      <c r="Q15" s="13" t="s">
        <v>87</v>
      </c>
      <c r="R15" s="13" t="s">
        <v>60</v>
      </c>
      <c r="S15" s="13" t="s">
        <v>42</v>
      </c>
      <c r="T15" s="15">
        <v>0</v>
      </c>
      <c r="U15" s="15">
        <v>0</v>
      </c>
      <c r="V15" s="15">
        <v>0</v>
      </c>
      <c r="W15" s="15">
        <v>0</v>
      </c>
      <c r="X15" s="9">
        <v>1</v>
      </c>
      <c r="Y15" s="10">
        <v>8</v>
      </c>
      <c r="Z15" s="10">
        <v>11</v>
      </c>
      <c r="AA15" s="10">
        <f t="shared" si="0"/>
        <v>-3</v>
      </c>
    </row>
    <row r="16" spans="1:28" ht="60" customHeight="1" x14ac:dyDescent="0.25">
      <c r="A16" s="1">
        <v>40</v>
      </c>
      <c r="B16" s="9">
        <v>2</v>
      </c>
      <c r="C16" s="9">
        <v>14</v>
      </c>
      <c r="D16" s="1">
        <v>23090</v>
      </c>
      <c r="E16" s="10">
        <v>16</v>
      </c>
      <c r="F16" s="11" t="s">
        <v>45</v>
      </c>
      <c r="G16" t="s">
        <v>38</v>
      </c>
      <c r="H16" s="24" t="s">
        <v>174</v>
      </c>
      <c r="I16" t="s">
        <v>31</v>
      </c>
      <c r="J16" s="10">
        <v>6</v>
      </c>
      <c r="K16" t="s">
        <v>48</v>
      </c>
      <c r="L16" s="10">
        <v>18</v>
      </c>
      <c r="M16" s="10">
        <f>Table1[[#This Row],[CurrentAge]]-Table1[[#This Row],[AgeStart]]</f>
        <v>2</v>
      </c>
      <c r="N16" t="s">
        <v>32</v>
      </c>
      <c r="O16" t="s">
        <v>33</v>
      </c>
      <c r="P16" s="13" t="s">
        <v>88</v>
      </c>
      <c r="Q16" s="13" t="s">
        <v>89</v>
      </c>
      <c r="R16" s="13" t="s">
        <v>43</v>
      </c>
      <c r="S16" s="13" t="s">
        <v>71</v>
      </c>
      <c r="T16" s="15">
        <v>1</v>
      </c>
      <c r="U16" s="15">
        <v>0</v>
      </c>
      <c r="V16" s="15">
        <v>0</v>
      </c>
      <c r="W16" s="15">
        <v>0</v>
      </c>
      <c r="X16" s="9">
        <v>1</v>
      </c>
      <c r="Y16" s="10">
        <v>4</v>
      </c>
      <c r="Z16" s="10">
        <v>9</v>
      </c>
      <c r="AA16" s="10">
        <f t="shared" si="0"/>
        <v>-5</v>
      </c>
    </row>
    <row r="17" spans="1:28" ht="73.5" customHeight="1" x14ac:dyDescent="0.25">
      <c r="A17" s="1">
        <v>48</v>
      </c>
      <c r="B17" s="9">
        <v>3</v>
      </c>
      <c r="C17" s="9">
        <v>15</v>
      </c>
      <c r="D17" s="1">
        <v>23753</v>
      </c>
      <c r="E17" s="10">
        <v>16</v>
      </c>
      <c r="F17" s="11" t="s">
        <v>45</v>
      </c>
      <c r="G17" t="s">
        <v>82</v>
      </c>
      <c r="H17" s="24" t="s">
        <v>174</v>
      </c>
      <c r="I17" t="s">
        <v>83</v>
      </c>
      <c r="J17" s="10">
        <v>5</v>
      </c>
      <c r="K17" t="s">
        <v>48</v>
      </c>
      <c r="L17" s="10">
        <v>19</v>
      </c>
      <c r="M17" s="10">
        <f>Table1[[#This Row],[CurrentAge]]-Table1[[#This Row],[AgeStart]]</f>
        <v>3</v>
      </c>
      <c r="N17" t="s">
        <v>49</v>
      </c>
      <c r="O17" t="s">
        <v>33</v>
      </c>
      <c r="P17" s="13" t="s">
        <v>90</v>
      </c>
      <c r="Q17" s="13" t="s">
        <v>91</v>
      </c>
      <c r="R17" s="13" t="s">
        <v>90</v>
      </c>
      <c r="S17" s="13" t="s">
        <v>73</v>
      </c>
      <c r="T17" s="15">
        <v>0</v>
      </c>
      <c r="U17" s="15">
        <v>0</v>
      </c>
      <c r="V17" s="15">
        <v>0</v>
      </c>
      <c r="W17" s="15">
        <v>1</v>
      </c>
      <c r="X17" s="9">
        <v>1</v>
      </c>
      <c r="Y17" s="10">
        <v>9</v>
      </c>
      <c r="Z17" s="10">
        <v>20</v>
      </c>
      <c r="AA17" s="10">
        <f t="shared" si="0"/>
        <v>-11</v>
      </c>
      <c r="AB17" s="13" t="s">
        <v>92</v>
      </c>
    </row>
    <row r="18" spans="1:28" ht="60" customHeight="1" x14ac:dyDescent="0.25">
      <c r="A18" s="1">
        <v>64</v>
      </c>
      <c r="B18" s="9">
        <v>1</v>
      </c>
      <c r="C18" s="9">
        <v>16</v>
      </c>
      <c r="D18" s="1">
        <v>23921</v>
      </c>
      <c r="E18" s="10">
        <v>16</v>
      </c>
      <c r="F18" s="11" t="s">
        <v>45</v>
      </c>
      <c r="G18" t="s">
        <v>30</v>
      </c>
      <c r="H18" s="24" t="s">
        <v>177</v>
      </c>
      <c r="I18" t="s">
        <v>31</v>
      </c>
      <c r="J18" s="10">
        <v>17</v>
      </c>
      <c r="K18" t="s">
        <v>117</v>
      </c>
      <c r="L18" s="10">
        <v>17</v>
      </c>
      <c r="M18" s="10">
        <f>Table1[[#This Row],[CurrentAge]]-Table1[[#This Row],[AgeStart]]</f>
        <v>1</v>
      </c>
      <c r="N18" t="s">
        <v>32</v>
      </c>
      <c r="O18" t="s">
        <v>33</v>
      </c>
      <c r="P18" s="13" t="s">
        <v>43</v>
      </c>
      <c r="Q18" s="13" t="s">
        <v>93</v>
      </c>
      <c r="R18" s="13" t="s">
        <v>43</v>
      </c>
      <c r="S18" s="13" t="s">
        <v>94</v>
      </c>
      <c r="T18" s="15">
        <v>0</v>
      </c>
      <c r="U18" s="15">
        <v>0</v>
      </c>
      <c r="V18" s="15">
        <v>0</v>
      </c>
      <c r="W18" s="15">
        <v>1</v>
      </c>
      <c r="X18" s="9">
        <v>1</v>
      </c>
      <c r="Y18" s="10">
        <v>9</v>
      </c>
      <c r="Z18" s="10">
        <v>6</v>
      </c>
      <c r="AA18" s="10">
        <f t="shared" si="0"/>
        <v>3</v>
      </c>
    </row>
    <row r="19" spans="1:28" ht="60" customHeight="1" x14ac:dyDescent="0.25">
      <c r="A19" s="1">
        <v>35</v>
      </c>
      <c r="B19" s="9">
        <v>1</v>
      </c>
      <c r="C19" s="9">
        <v>17</v>
      </c>
      <c r="D19" s="1">
        <v>25462</v>
      </c>
      <c r="E19" s="10">
        <v>16</v>
      </c>
      <c r="F19" s="11" t="s">
        <v>29</v>
      </c>
      <c r="G19" t="s">
        <v>38</v>
      </c>
      <c r="H19" s="24" t="s">
        <v>175</v>
      </c>
      <c r="I19" t="s">
        <v>31</v>
      </c>
      <c r="J19" s="10">
        <v>15</v>
      </c>
      <c r="K19" t="s">
        <v>48</v>
      </c>
      <c r="L19" s="10">
        <v>24</v>
      </c>
      <c r="M19" s="10">
        <f>Table1[[#This Row],[CurrentAge]]-Table1[[#This Row],[AgeStart]]</f>
        <v>8</v>
      </c>
      <c r="N19" t="s">
        <v>95</v>
      </c>
      <c r="O19" t="s">
        <v>57</v>
      </c>
      <c r="P19" s="13" t="s">
        <v>43</v>
      </c>
      <c r="Q19" s="13" t="s">
        <v>96</v>
      </c>
      <c r="R19" s="13" t="s">
        <v>97</v>
      </c>
      <c r="S19" s="13" t="s">
        <v>98</v>
      </c>
      <c r="T19" s="15">
        <v>0</v>
      </c>
      <c r="U19" s="15">
        <v>2</v>
      </c>
      <c r="V19" s="15">
        <v>0</v>
      </c>
      <c r="W19" s="15">
        <v>0</v>
      </c>
      <c r="X19" s="9">
        <v>1</v>
      </c>
      <c r="Y19" s="10">
        <v>7</v>
      </c>
      <c r="Z19" s="10">
        <v>11</v>
      </c>
      <c r="AA19" s="10">
        <f t="shared" si="0"/>
        <v>-4</v>
      </c>
    </row>
    <row r="20" spans="1:28" ht="46.5" customHeight="1" x14ac:dyDescent="0.25">
      <c r="A20" s="1">
        <v>28</v>
      </c>
      <c r="B20" s="9">
        <v>1</v>
      </c>
      <c r="C20" s="9">
        <v>18</v>
      </c>
      <c r="D20" s="1">
        <v>26370</v>
      </c>
      <c r="E20" s="10">
        <v>16</v>
      </c>
      <c r="F20" s="11" t="s">
        <v>45</v>
      </c>
      <c r="G20" t="s">
        <v>38</v>
      </c>
      <c r="H20" s="24" t="s">
        <v>177</v>
      </c>
      <c r="I20" t="s">
        <v>31</v>
      </c>
      <c r="J20" s="10">
        <v>10</v>
      </c>
      <c r="K20" t="s">
        <v>48</v>
      </c>
      <c r="L20" s="10">
        <v>19</v>
      </c>
      <c r="M20" s="10">
        <f>Table1[[#This Row],[CurrentAge]]-Table1[[#This Row],[AgeStart]]</f>
        <v>3</v>
      </c>
      <c r="N20" t="s">
        <v>32</v>
      </c>
      <c r="O20" t="s">
        <v>57</v>
      </c>
      <c r="P20" s="13" t="s">
        <v>99</v>
      </c>
      <c r="Q20" s="13" t="s">
        <v>100</v>
      </c>
      <c r="R20" s="13" t="s">
        <v>43</v>
      </c>
      <c r="S20" s="13" t="s">
        <v>101</v>
      </c>
      <c r="T20" s="15">
        <v>0</v>
      </c>
      <c r="U20" s="15">
        <v>2</v>
      </c>
      <c r="V20" s="15">
        <v>0</v>
      </c>
      <c r="W20" s="15">
        <v>1</v>
      </c>
      <c r="X20" s="9">
        <v>1</v>
      </c>
      <c r="Y20" s="10">
        <v>5</v>
      </c>
      <c r="Z20" s="10">
        <v>10</v>
      </c>
      <c r="AA20" s="10">
        <f t="shared" si="0"/>
        <v>-5</v>
      </c>
    </row>
    <row r="21" spans="1:28" ht="20.100000000000001" customHeight="1" x14ac:dyDescent="0.25">
      <c r="A21" s="1">
        <v>27</v>
      </c>
      <c r="B21" s="9">
        <v>1</v>
      </c>
      <c r="C21" s="9">
        <v>19</v>
      </c>
      <c r="D21" s="1">
        <v>97448</v>
      </c>
      <c r="E21" s="10">
        <v>18</v>
      </c>
      <c r="F21" s="11" t="s">
        <v>45</v>
      </c>
      <c r="G21" t="s">
        <v>147</v>
      </c>
      <c r="H21" s="24" t="s">
        <v>174</v>
      </c>
      <c r="I21" t="s">
        <v>77</v>
      </c>
      <c r="J21" s="10">
        <v>45</v>
      </c>
      <c r="K21" t="s">
        <v>48</v>
      </c>
      <c r="L21" s="10">
        <v>18</v>
      </c>
      <c r="M21" s="10">
        <f>Table1[[#This Row],[CurrentAge]]-Table1[[#This Row],[AgeStart]]</f>
        <v>0</v>
      </c>
      <c r="N21" t="s">
        <v>32</v>
      </c>
      <c r="O21" t="s">
        <v>33</v>
      </c>
      <c r="P21" s="13" t="s">
        <v>43</v>
      </c>
      <c r="Q21" s="13" t="s">
        <v>42</v>
      </c>
      <c r="R21" s="13" t="s">
        <v>105</v>
      </c>
      <c r="S21" s="13" t="s">
        <v>71</v>
      </c>
      <c r="T21" s="15">
        <v>0</v>
      </c>
      <c r="U21" s="15">
        <v>0</v>
      </c>
      <c r="V21" s="15">
        <v>0</v>
      </c>
      <c r="W21" s="15">
        <v>0</v>
      </c>
      <c r="X21" s="9">
        <v>1</v>
      </c>
      <c r="Y21" s="10">
        <v>6</v>
      </c>
      <c r="Z21" s="10">
        <v>13</v>
      </c>
      <c r="AA21" s="10">
        <f>Y21-Z21</f>
        <v>-7</v>
      </c>
    </row>
    <row r="22" spans="1:28" ht="46.5" customHeight="1" x14ac:dyDescent="0.25">
      <c r="A22" s="1">
        <v>20</v>
      </c>
      <c r="B22" s="9">
        <v>1</v>
      </c>
      <c r="C22" s="9">
        <v>20</v>
      </c>
      <c r="D22" s="1">
        <v>28334</v>
      </c>
      <c r="E22" s="10">
        <v>16</v>
      </c>
      <c r="F22" s="11" t="s">
        <v>29</v>
      </c>
      <c r="G22" t="s">
        <v>46</v>
      </c>
      <c r="H22" s="24" t="s">
        <v>177</v>
      </c>
      <c r="I22" t="s">
        <v>83</v>
      </c>
      <c r="J22" s="10">
        <v>8</v>
      </c>
      <c r="K22" t="s">
        <v>48</v>
      </c>
      <c r="L22" s="10">
        <v>21</v>
      </c>
      <c r="M22" s="10">
        <f>Table1[[#This Row],[CurrentAge]]-Table1[[#This Row],[AgeStart]]</f>
        <v>5</v>
      </c>
      <c r="N22" t="s">
        <v>49</v>
      </c>
      <c r="O22" t="s">
        <v>57</v>
      </c>
      <c r="P22" s="13" t="s">
        <v>43</v>
      </c>
      <c r="Q22" s="13" t="s">
        <v>42</v>
      </c>
      <c r="R22" s="13" t="s">
        <v>43</v>
      </c>
      <c r="S22" s="13" t="s">
        <v>102</v>
      </c>
      <c r="T22" s="15">
        <v>0</v>
      </c>
      <c r="U22" s="15">
        <v>0</v>
      </c>
      <c r="V22" s="15">
        <v>0</v>
      </c>
      <c r="W22" s="15">
        <v>0</v>
      </c>
      <c r="X22" s="9">
        <v>1</v>
      </c>
      <c r="Y22" s="10">
        <v>3</v>
      </c>
      <c r="Z22" s="9">
        <v>9</v>
      </c>
      <c r="AA22" s="10">
        <f t="shared" si="0"/>
        <v>-6</v>
      </c>
    </row>
    <row r="23" spans="1:28" ht="60" customHeight="1" x14ac:dyDescent="0.25">
      <c r="A23" s="1">
        <v>41</v>
      </c>
      <c r="B23" s="9">
        <v>0</v>
      </c>
      <c r="C23" s="9">
        <v>21</v>
      </c>
      <c r="D23" s="1">
        <v>29048</v>
      </c>
      <c r="E23" s="10">
        <v>16</v>
      </c>
      <c r="F23" s="11" t="s">
        <v>45</v>
      </c>
      <c r="G23" t="s">
        <v>38</v>
      </c>
      <c r="H23" s="24" t="s">
        <v>176</v>
      </c>
      <c r="I23" t="s">
        <v>31</v>
      </c>
      <c r="J23" s="10">
        <v>15</v>
      </c>
      <c r="K23" t="s">
        <v>68</v>
      </c>
      <c r="L23" s="10">
        <v>18</v>
      </c>
      <c r="M23" s="10">
        <f>Table1[[#This Row],[CurrentAge]]-Table1[[#This Row],[AgeStart]]</f>
        <v>2</v>
      </c>
      <c r="N23" t="s">
        <v>32</v>
      </c>
      <c r="O23" t="s">
        <v>57</v>
      </c>
      <c r="P23" s="13" t="s">
        <v>41</v>
      </c>
      <c r="Q23" s="13" t="s">
        <v>101</v>
      </c>
      <c r="R23" s="13" t="s">
        <v>66</v>
      </c>
      <c r="S23" s="13" t="s">
        <v>87</v>
      </c>
      <c r="T23" s="15">
        <v>0</v>
      </c>
      <c r="U23" s="15">
        <v>1</v>
      </c>
      <c r="V23" s="15">
        <v>0</v>
      </c>
      <c r="W23" s="15">
        <v>0</v>
      </c>
      <c r="X23" s="9">
        <v>1</v>
      </c>
      <c r="Y23" s="10">
        <v>5</v>
      </c>
      <c r="Z23" s="10">
        <v>7</v>
      </c>
      <c r="AA23" s="10">
        <f t="shared" si="0"/>
        <v>-2</v>
      </c>
    </row>
    <row r="24" spans="1:28" ht="20.100000000000001" customHeight="1" x14ac:dyDescent="0.25">
      <c r="A24" s="1">
        <v>63</v>
      </c>
      <c r="B24" s="9">
        <v>0</v>
      </c>
      <c r="C24" s="9">
        <v>22</v>
      </c>
      <c r="D24" s="1">
        <v>29097</v>
      </c>
      <c r="E24" s="10">
        <v>16</v>
      </c>
      <c r="F24" s="11" t="s">
        <v>45</v>
      </c>
      <c r="G24" t="s">
        <v>82</v>
      </c>
      <c r="H24" s="24" t="s">
        <v>177</v>
      </c>
      <c r="I24" t="s">
        <v>31</v>
      </c>
      <c r="J24" s="10">
        <v>15</v>
      </c>
      <c r="K24" t="s">
        <v>48</v>
      </c>
      <c r="L24" s="10">
        <v>21</v>
      </c>
      <c r="M24" s="10">
        <f>Table1[[#This Row],[CurrentAge]]-Table1[[#This Row],[AgeStart]]</f>
        <v>5</v>
      </c>
      <c r="N24" t="s">
        <v>103</v>
      </c>
      <c r="O24" t="s">
        <v>33</v>
      </c>
      <c r="P24" s="13" t="s">
        <v>43</v>
      </c>
      <c r="Q24" s="13" t="s">
        <v>104</v>
      </c>
      <c r="R24" s="13" t="s">
        <v>105</v>
      </c>
      <c r="S24" s="13" t="s">
        <v>101</v>
      </c>
      <c r="T24" s="15">
        <v>0</v>
      </c>
      <c r="U24" s="15">
        <v>0</v>
      </c>
      <c r="V24" s="15">
        <v>0</v>
      </c>
      <c r="W24" s="15">
        <v>1</v>
      </c>
      <c r="X24" s="9">
        <v>1</v>
      </c>
      <c r="Y24" s="10">
        <v>10</v>
      </c>
      <c r="Z24" s="10">
        <v>8</v>
      </c>
      <c r="AA24" s="10">
        <f t="shared" si="0"/>
        <v>2</v>
      </c>
      <c r="AB24" s="13" t="s">
        <v>106</v>
      </c>
    </row>
    <row r="25" spans="1:28" ht="20.100000000000001" customHeight="1" x14ac:dyDescent="0.25">
      <c r="A25" s="1">
        <v>5</v>
      </c>
      <c r="B25" s="9">
        <v>0</v>
      </c>
      <c r="C25" s="9">
        <v>23</v>
      </c>
      <c r="D25" s="1">
        <v>34473</v>
      </c>
      <c r="E25" s="10">
        <v>16</v>
      </c>
      <c r="F25" s="11" t="s">
        <v>45</v>
      </c>
      <c r="G25" t="s">
        <v>62</v>
      </c>
      <c r="H25" s="24" t="s">
        <v>175</v>
      </c>
      <c r="I25" t="s">
        <v>77</v>
      </c>
      <c r="J25" s="10">
        <v>30</v>
      </c>
      <c r="K25" t="s">
        <v>48</v>
      </c>
      <c r="L25" s="10">
        <v>19</v>
      </c>
      <c r="M25" s="10">
        <f>Table1[[#This Row],[CurrentAge]]-Table1[[#This Row],[AgeStart]]</f>
        <v>3</v>
      </c>
      <c r="N25" t="s">
        <v>32</v>
      </c>
      <c r="O25" t="s">
        <v>33</v>
      </c>
      <c r="P25" s="13" t="s">
        <v>43</v>
      </c>
      <c r="Q25" s="13" t="s">
        <v>78</v>
      </c>
      <c r="R25" s="13" t="s">
        <v>74</v>
      </c>
      <c r="S25" s="13" t="s">
        <v>94</v>
      </c>
      <c r="T25" s="15">
        <v>0</v>
      </c>
      <c r="U25" s="15">
        <v>0</v>
      </c>
      <c r="V25" s="15">
        <v>0</v>
      </c>
      <c r="W25" s="15">
        <v>1</v>
      </c>
      <c r="X25" s="9">
        <v>1</v>
      </c>
      <c r="Y25" s="9">
        <v>5</v>
      </c>
      <c r="Z25" s="9">
        <v>6</v>
      </c>
      <c r="AA25" s="10">
        <f t="shared" si="0"/>
        <v>-1</v>
      </c>
    </row>
    <row r="26" spans="1:28" ht="20.100000000000001" customHeight="1" x14ac:dyDescent="0.25">
      <c r="A26" s="1">
        <v>21</v>
      </c>
      <c r="B26" s="9">
        <v>2</v>
      </c>
      <c r="C26" s="9">
        <v>24</v>
      </c>
      <c r="D26" s="1">
        <v>35217</v>
      </c>
      <c r="E26" s="10">
        <v>16</v>
      </c>
      <c r="F26" s="11" t="s">
        <v>29</v>
      </c>
      <c r="G26" t="s">
        <v>107</v>
      </c>
      <c r="H26" s="24" t="s">
        <v>174</v>
      </c>
      <c r="I26" t="s">
        <v>72</v>
      </c>
      <c r="J26" s="10">
        <v>60</v>
      </c>
      <c r="K26" t="s">
        <v>68</v>
      </c>
      <c r="L26" s="10">
        <v>21</v>
      </c>
      <c r="M26" s="10">
        <f>Table1[[#This Row],[CurrentAge]]-Table1[[#This Row],[AgeStart]]</f>
        <v>5</v>
      </c>
      <c r="N26" t="s">
        <v>49</v>
      </c>
      <c r="O26" t="s">
        <v>57</v>
      </c>
      <c r="P26" s="13" t="s">
        <v>108</v>
      </c>
      <c r="Q26" s="13" t="s">
        <v>42</v>
      </c>
      <c r="R26" s="13" t="s">
        <v>74</v>
      </c>
      <c r="S26" s="13" t="s">
        <v>109</v>
      </c>
      <c r="T26" s="15">
        <v>0</v>
      </c>
      <c r="U26" s="15">
        <v>0</v>
      </c>
      <c r="V26" s="15">
        <v>0</v>
      </c>
      <c r="W26" s="15">
        <v>0</v>
      </c>
      <c r="X26" s="9">
        <v>1</v>
      </c>
      <c r="Y26" s="10">
        <v>4</v>
      </c>
      <c r="Z26" s="10">
        <v>8</v>
      </c>
      <c r="AA26" s="10">
        <f t="shared" si="0"/>
        <v>-4</v>
      </c>
    </row>
    <row r="27" spans="1:28" ht="20.100000000000001" customHeight="1" x14ac:dyDescent="0.25">
      <c r="A27" s="1">
        <v>16</v>
      </c>
      <c r="B27" s="9">
        <v>0</v>
      </c>
      <c r="C27" s="9">
        <v>25</v>
      </c>
      <c r="D27" s="1">
        <v>35745</v>
      </c>
      <c r="E27" s="10">
        <v>16</v>
      </c>
      <c r="F27" s="11" t="s">
        <v>29</v>
      </c>
      <c r="G27" t="s">
        <v>67</v>
      </c>
      <c r="H27" s="24" t="s">
        <v>176</v>
      </c>
      <c r="I27" t="s">
        <v>47</v>
      </c>
      <c r="J27" s="10">
        <v>20</v>
      </c>
      <c r="K27" t="s">
        <v>48</v>
      </c>
      <c r="L27" s="10">
        <v>49</v>
      </c>
      <c r="M27" s="10">
        <f>Table1[[#This Row],[CurrentAge]]-Table1[[#This Row],[AgeStart]]</f>
        <v>33</v>
      </c>
      <c r="N27" t="s">
        <v>95</v>
      </c>
      <c r="O27" t="s">
        <v>33</v>
      </c>
      <c r="P27" s="13" t="s">
        <v>43</v>
      </c>
      <c r="Q27" s="13" t="s">
        <v>110</v>
      </c>
      <c r="R27" s="13" t="s">
        <v>43</v>
      </c>
      <c r="S27" s="12" t="s">
        <v>111</v>
      </c>
      <c r="T27" s="15">
        <v>0</v>
      </c>
      <c r="U27" s="15">
        <v>1</v>
      </c>
      <c r="V27" s="15">
        <v>0</v>
      </c>
      <c r="W27" s="14">
        <v>-1</v>
      </c>
      <c r="X27" s="9">
        <v>1</v>
      </c>
      <c r="Y27" s="10">
        <v>1</v>
      </c>
      <c r="Z27" s="10">
        <v>2</v>
      </c>
      <c r="AA27" s="10">
        <f t="shared" si="0"/>
        <v>-1</v>
      </c>
    </row>
    <row r="28" spans="1:28" ht="20.100000000000001" customHeight="1" x14ac:dyDescent="0.25">
      <c r="A28" s="1">
        <v>7</v>
      </c>
      <c r="B28" s="9">
        <v>2</v>
      </c>
      <c r="C28" s="9">
        <v>26</v>
      </c>
      <c r="D28" s="1">
        <v>37883</v>
      </c>
      <c r="E28" s="10">
        <v>16</v>
      </c>
      <c r="F28" s="11" t="s">
        <v>29</v>
      </c>
      <c r="G28" t="s">
        <v>38</v>
      </c>
      <c r="H28" s="24" t="s">
        <v>176</v>
      </c>
      <c r="I28" t="s">
        <v>77</v>
      </c>
      <c r="J28" s="10">
        <v>50</v>
      </c>
      <c r="K28" t="s">
        <v>68</v>
      </c>
      <c r="L28" s="10">
        <v>19</v>
      </c>
      <c r="M28" s="10">
        <f>Table1[[#This Row],[CurrentAge]]-Table1[[#This Row],[AgeStart]]</f>
        <v>3</v>
      </c>
      <c r="N28" t="s">
        <v>32</v>
      </c>
      <c r="O28" t="s">
        <v>57</v>
      </c>
      <c r="P28" s="13" t="s">
        <v>43</v>
      </c>
      <c r="Q28" s="13" t="s">
        <v>78</v>
      </c>
      <c r="R28" s="13" t="s">
        <v>43</v>
      </c>
      <c r="S28" s="13" t="s">
        <v>84</v>
      </c>
      <c r="T28" s="15">
        <v>0</v>
      </c>
      <c r="U28" s="15">
        <v>0</v>
      </c>
      <c r="V28" s="15">
        <v>0</v>
      </c>
      <c r="W28" s="15">
        <v>1</v>
      </c>
      <c r="X28" s="9">
        <v>1</v>
      </c>
      <c r="Y28" s="15">
        <v>5</v>
      </c>
      <c r="Z28" s="9">
        <v>9</v>
      </c>
      <c r="AA28" s="10">
        <f t="shared" si="0"/>
        <v>-4</v>
      </c>
      <c r="AB28" s="15"/>
    </row>
    <row r="29" spans="1:28" ht="20.100000000000001" customHeight="1" x14ac:dyDescent="0.25">
      <c r="A29" s="1">
        <v>73</v>
      </c>
      <c r="B29" s="9">
        <v>3</v>
      </c>
      <c r="C29" s="9">
        <v>27</v>
      </c>
      <c r="D29" s="1">
        <v>38989</v>
      </c>
      <c r="E29" s="10">
        <v>16</v>
      </c>
      <c r="F29" s="11" t="s">
        <v>45</v>
      </c>
      <c r="G29" t="s">
        <v>67</v>
      </c>
      <c r="H29" s="24" t="s">
        <v>175</v>
      </c>
      <c r="I29" t="s">
        <v>31</v>
      </c>
      <c r="J29" s="10">
        <v>15</v>
      </c>
      <c r="K29" t="s">
        <v>48</v>
      </c>
      <c r="L29" s="10">
        <v>19</v>
      </c>
      <c r="M29" s="10">
        <f>Table1[[#This Row],[CurrentAge]]-Table1[[#This Row],[AgeStart]]</f>
        <v>3</v>
      </c>
      <c r="N29" t="s">
        <v>112</v>
      </c>
      <c r="O29" t="s">
        <v>33</v>
      </c>
      <c r="P29" s="12" t="s">
        <v>113</v>
      </c>
      <c r="Q29" s="13" t="s">
        <v>65</v>
      </c>
      <c r="R29" s="13" t="s">
        <v>60</v>
      </c>
      <c r="S29" s="13" t="s">
        <v>96</v>
      </c>
      <c r="T29" s="14">
        <v>-1</v>
      </c>
      <c r="U29" s="15">
        <v>0</v>
      </c>
      <c r="V29" s="15">
        <v>0</v>
      </c>
      <c r="W29" s="15">
        <v>2</v>
      </c>
      <c r="X29" s="9">
        <v>1</v>
      </c>
      <c r="Y29" s="10">
        <v>4</v>
      </c>
      <c r="Z29" s="10">
        <v>7</v>
      </c>
      <c r="AA29" s="10">
        <f t="shared" si="0"/>
        <v>-3</v>
      </c>
    </row>
    <row r="30" spans="1:28" ht="20.100000000000001" customHeight="1" x14ac:dyDescent="0.25">
      <c r="A30" s="1">
        <v>60</v>
      </c>
      <c r="B30" s="9">
        <v>0</v>
      </c>
      <c r="C30" s="9">
        <v>28</v>
      </c>
      <c r="D30" s="1">
        <v>39692</v>
      </c>
      <c r="E30" s="10">
        <v>23</v>
      </c>
      <c r="F30" s="11" t="s">
        <v>29</v>
      </c>
      <c r="G30" t="s">
        <v>38</v>
      </c>
      <c r="H30" s="24" t="s">
        <v>175</v>
      </c>
      <c r="I30" t="s">
        <v>39</v>
      </c>
      <c r="J30" s="10">
        <v>5</v>
      </c>
      <c r="K30" t="s">
        <v>48</v>
      </c>
      <c r="L30" s="10">
        <v>55</v>
      </c>
      <c r="M30" s="10">
        <f>Table1[[#This Row],[CurrentAge]]-Table1[[#This Row],[AgeStart]]</f>
        <v>32</v>
      </c>
      <c r="N30" t="s">
        <v>40</v>
      </c>
      <c r="O30" t="s">
        <v>33</v>
      </c>
      <c r="P30" s="13" t="s">
        <v>43</v>
      </c>
      <c r="Q30" s="13" t="s">
        <v>114</v>
      </c>
      <c r="R30" s="13" t="s">
        <v>43</v>
      </c>
      <c r="S30" s="13" t="s">
        <v>42</v>
      </c>
      <c r="T30" s="15">
        <v>0</v>
      </c>
      <c r="U30" s="15">
        <v>1</v>
      </c>
      <c r="V30" s="15">
        <v>0</v>
      </c>
      <c r="W30" s="15">
        <v>0</v>
      </c>
      <c r="X30" s="9">
        <v>1</v>
      </c>
      <c r="Y30" s="10">
        <v>12</v>
      </c>
      <c r="Z30" s="10">
        <v>11</v>
      </c>
      <c r="AA30" s="10">
        <f t="shared" si="0"/>
        <v>1</v>
      </c>
    </row>
    <row r="31" spans="1:28" ht="20.100000000000001" customHeight="1" x14ac:dyDescent="0.25">
      <c r="A31" s="1">
        <v>58</v>
      </c>
      <c r="B31" s="9">
        <v>2</v>
      </c>
      <c r="C31" s="9">
        <v>29</v>
      </c>
      <c r="D31" s="1">
        <v>41473</v>
      </c>
      <c r="E31" s="10">
        <v>16</v>
      </c>
      <c r="F31" s="11" t="s">
        <v>29</v>
      </c>
      <c r="G31" t="s">
        <v>38</v>
      </c>
      <c r="H31" s="24" t="s">
        <v>175</v>
      </c>
      <c r="I31" t="s">
        <v>31</v>
      </c>
      <c r="J31" s="10">
        <v>9</v>
      </c>
      <c r="K31" t="s">
        <v>48</v>
      </c>
      <c r="L31" s="10">
        <v>48</v>
      </c>
      <c r="M31" s="10">
        <f>Table1[[#This Row],[CurrentAge]]-Table1[[#This Row],[AgeStart]]</f>
        <v>32</v>
      </c>
      <c r="N31" t="s">
        <v>63</v>
      </c>
      <c r="O31" t="s">
        <v>33</v>
      </c>
      <c r="P31" s="13" t="s">
        <v>115</v>
      </c>
      <c r="Q31" s="13" t="s">
        <v>42</v>
      </c>
      <c r="R31" s="13" t="s">
        <v>60</v>
      </c>
      <c r="S31" s="13" t="s">
        <v>44</v>
      </c>
      <c r="T31" s="15">
        <v>0</v>
      </c>
      <c r="U31" s="15">
        <v>0</v>
      </c>
      <c r="V31" s="15">
        <v>0</v>
      </c>
      <c r="W31" s="15">
        <v>2</v>
      </c>
      <c r="X31" s="9">
        <v>1</v>
      </c>
      <c r="Y31" s="10">
        <v>8</v>
      </c>
      <c r="Z31" s="10">
        <v>5</v>
      </c>
      <c r="AA31" s="10">
        <f t="shared" si="0"/>
        <v>3</v>
      </c>
    </row>
    <row r="32" spans="1:28" ht="20.100000000000001" customHeight="1" x14ac:dyDescent="0.25">
      <c r="A32" s="1">
        <v>51</v>
      </c>
      <c r="B32" s="9">
        <v>2</v>
      </c>
      <c r="C32" s="9">
        <v>30</v>
      </c>
      <c r="D32" s="1">
        <v>41517</v>
      </c>
      <c r="E32" s="10">
        <v>16</v>
      </c>
      <c r="F32" s="11" t="s">
        <v>45</v>
      </c>
      <c r="G32" t="s">
        <v>46</v>
      </c>
      <c r="H32" s="24" t="s">
        <v>175</v>
      </c>
      <c r="I32" t="s">
        <v>116</v>
      </c>
      <c r="J32" s="10">
        <v>22</v>
      </c>
      <c r="K32" t="s">
        <v>117</v>
      </c>
      <c r="L32" s="10">
        <v>18</v>
      </c>
      <c r="M32" s="10">
        <f>Table1[[#This Row],[CurrentAge]]-Table1[[#This Row],[AgeStart]]</f>
        <v>2</v>
      </c>
      <c r="N32" t="s">
        <v>49</v>
      </c>
      <c r="O32" t="s">
        <v>33</v>
      </c>
      <c r="P32" s="13" t="s">
        <v>64</v>
      </c>
      <c r="Q32" s="13" t="s">
        <v>118</v>
      </c>
      <c r="R32" s="13" t="s">
        <v>66</v>
      </c>
      <c r="S32" s="13" t="s">
        <v>73</v>
      </c>
      <c r="T32" s="15">
        <v>0</v>
      </c>
      <c r="U32" s="15">
        <v>0</v>
      </c>
      <c r="V32" s="15">
        <v>0</v>
      </c>
      <c r="W32" s="15">
        <v>1</v>
      </c>
      <c r="X32" s="9">
        <v>1</v>
      </c>
      <c r="Y32" s="10">
        <v>6</v>
      </c>
      <c r="Z32" s="10">
        <v>11</v>
      </c>
      <c r="AA32" s="10">
        <f t="shared" si="0"/>
        <v>-5</v>
      </c>
    </row>
    <row r="33" spans="1:28" ht="20.100000000000001" customHeight="1" x14ac:dyDescent="0.25">
      <c r="A33" s="1">
        <v>70</v>
      </c>
      <c r="B33" s="9">
        <v>0</v>
      </c>
      <c r="C33" s="9">
        <v>31</v>
      </c>
      <c r="D33" s="1">
        <v>46094</v>
      </c>
      <c r="E33" s="10">
        <v>16</v>
      </c>
      <c r="F33" s="11" t="s">
        <v>45</v>
      </c>
      <c r="G33" t="s">
        <v>30</v>
      </c>
      <c r="H33" s="24" t="s">
        <v>177</v>
      </c>
      <c r="I33" t="s">
        <v>31</v>
      </c>
      <c r="J33" s="10">
        <v>6</v>
      </c>
      <c r="K33" t="s">
        <v>48</v>
      </c>
      <c r="L33" s="10">
        <v>19</v>
      </c>
      <c r="M33" s="10">
        <f>Table1[[#This Row],[CurrentAge]]-Table1[[#This Row],[AgeStart]]</f>
        <v>3</v>
      </c>
      <c r="N33" t="s">
        <v>32</v>
      </c>
      <c r="O33" t="s">
        <v>33</v>
      </c>
      <c r="P33" s="13" t="s">
        <v>50</v>
      </c>
      <c r="Q33" s="13" t="s">
        <v>119</v>
      </c>
      <c r="R33" s="13" t="s">
        <v>120</v>
      </c>
      <c r="S33" s="13" t="s">
        <v>121</v>
      </c>
      <c r="T33" s="15">
        <v>0</v>
      </c>
      <c r="U33" s="15">
        <v>1</v>
      </c>
      <c r="V33" s="15">
        <v>0</v>
      </c>
      <c r="W33" s="15">
        <v>2</v>
      </c>
      <c r="X33" s="9">
        <v>1</v>
      </c>
      <c r="Y33" s="10">
        <v>9</v>
      </c>
      <c r="Z33" s="10">
        <v>7</v>
      </c>
      <c r="AA33" s="10">
        <f t="shared" si="0"/>
        <v>2</v>
      </c>
    </row>
    <row r="34" spans="1:28" ht="20.100000000000001" customHeight="1" x14ac:dyDescent="0.25">
      <c r="A34" s="1">
        <v>11</v>
      </c>
      <c r="B34" s="9">
        <v>3</v>
      </c>
      <c r="C34" s="9">
        <v>32</v>
      </c>
      <c r="D34" s="1">
        <v>46121</v>
      </c>
      <c r="E34" s="10">
        <v>16</v>
      </c>
      <c r="F34" s="11" t="s">
        <v>29</v>
      </c>
      <c r="G34" t="s">
        <v>67</v>
      </c>
      <c r="H34" s="24" t="s">
        <v>176</v>
      </c>
      <c r="I34" t="s">
        <v>116</v>
      </c>
      <c r="J34" s="10">
        <v>140</v>
      </c>
      <c r="K34" t="s">
        <v>117</v>
      </c>
      <c r="L34" s="10">
        <v>24</v>
      </c>
      <c r="M34" s="10">
        <f>Table1[[#This Row],[CurrentAge]]-Table1[[#This Row],[AgeStart]]</f>
        <v>8</v>
      </c>
      <c r="N34" t="s">
        <v>95</v>
      </c>
      <c r="O34" t="s">
        <v>57</v>
      </c>
      <c r="P34" s="13" t="s">
        <v>74</v>
      </c>
      <c r="Q34" s="13" t="s">
        <v>71</v>
      </c>
      <c r="R34" s="13" t="s">
        <v>43</v>
      </c>
      <c r="S34" s="13" t="s">
        <v>71</v>
      </c>
      <c r="T34" s="15">
        <v>0</v>
      </c>
      <c r="U34" s="15">
        <v>0</v>
      </c>
      <c r="V34" s="15">
        <v>0</v>
      </c>
      <c r="W34" s="15">
        <v>0</v>
      </c>
      <c r="X34" s="9">
        <v>1</v>
      </c>
      <c r="Y34" s="10">
        <v>4</v>
      </c>
      <c r="Z34" s="9">
        <v>14</v>
      </c>
      <c r="AA34" s="10">
        <f t="shared" ref="AA34:AA65" si="1">Y34-Z34</f>
        <v>-10</v>
      </c>
    </row>
    <row r="35" spans="1:28" ht="20.100000000000001" customHeight="1" x14ac:dyDescent="0.25">
      <c r="A35" s="1">
        <v>42</v>
      </c>
      <c r="B35" s="9">
        <v>3</v>
      </c>
      <c r="C35" s="9">
        <v>33</v>
      </c>
      <c r="D35" s="1">
        <v>46307</v>
      </c>
      <c r="E35" s="10">
        <v>16</v>
      </c>
      <c r="F35" s="11" t="s">
        <v>45</v>
      </c>
      <c r="G35" t="s">
        <v>38</v>
      </c>
      <c r="H35" s="24" t="s">
        <v>176</v>
      </c>
      <c r="I35" t="s">
        <v>31</v>
      </c>
      <c r="J35" s="10">
        <v>10</v>
      </c>
      <c r="K35" t="s">
        <v>68</v>
      </c>
      <c r="L35" s="10">
        <v>18</v>
      </c>
      <c r="M35" s="10">
        <f>Table1[[#This Row],[CurrentAge]]-Table1[[#This Row],[AgeStart]]</f>
        <v>2</v>
      </c>
      <c r="N35" t="s">
        <v>32</v>
      </c>
      <c r="O35" t="s">
        <v>57</v>
      </c>
      <c r="P35" s="13" t="s">
        <v>64</v>
      </c>
      <c r="Q35" s="13" t="s">
        <v>84</v>
      </c>
      <c r="R35" s="13" t="s">
        <v>43</v>
      </c>
      <c r="S35" s="13" t="s">
        <v>122</v>
      </c>
      <c r="T35" s="15">
        <v>0</v>
      </c>
      <c r="U35" s="15">
        <v>1</v>
      </c>
      <c r="V35" s="15">
        <v>0</v>
      </c>
      <c r="W35" s="15">
        <v>2</v>
      </c>
      <c r="X35" s="9">
        <v>1</v>
      </c>
      <c r="Y35" s="10">
        <v>0</v>
      </c>
      <c r="Z35" s="10">
        <v>13</v>
      </c>
      <c r="AA35" s="10">
        <f t="shared" si="1"/>
        <v>-13</v>
      </c>
      <c r="AB35" s="13" t="s">
        <v>123</v>
      </c>
    </row>
    <row r="36" spans="1:28" ht="20.100000000000001" customHeight="1" x14ac:dyDescent="0.25">
      <c r="A36" s="1">
        <v>6</v>
      </c>
      <c r="B36" s="9">
        <v>1</v>
      </c>
      <c r="C36" s="9">
        <v>34</v>
      </c>
      <c r="D36" s="1">
        <v>47274</v>
      </c>
      <c r="E36" s="10">
        <v>16</v>
      </c>
      <c r="F36" s="11" t="s">
        <v>29</v>
      </c>
      <c r="G36" t="s">
        <v>38</v>
      </c>
      <c r="H36" s="24" t="s">
        <v>175</v>
      </c>
      <c r="I36" t="s">
        <v>31</v>
      </c>
      <c r="J36" s="10">
        <v>100</v>
      </c>
      <c r="K36" t="s">
        <v>117</v>
      </c>
      <c r="L36" s="10">
        <v>19</v>
      </c>
      <c r="M36" s="10">
        <f>Table1[[#This Row],[CurrentAge]]-Table1[[#This Row],[AgeStart]]</f>
        <v>3</v>
      </c>
      <c r="N36" t="s">
        <v>32</v>
      </c>
      <c r="O36" t="s">
        <v>57</v>
      </c>
      <c r="P36" s="13" t="s">
        <v>43</v>
      </c>
      <c r="Q36" s="13" t="s">
        <v>124</v>
      </c>
      <c r="R36" s="13" t="s">
        <v>43</v>
      </c>
      <c r="S36" s="13" t="s">
        <v>71</v>
      </c>
      <c r="T36" s="15">
        <v>0</v>
      </c>
      <c r="U36" s="15">
        <v>2</v>
      </c>
      <c r="V36" s="15">
        <v>0</v>
      </c>
      <c r="W36" s="15">
        <v>0</v>
      </c>
      <c r="X36" s="9">
        <v>1</v>
      </c>
      <c r="Y36" s="9">
        <v>5</v>
      </c>
      <c r="Z36" s="9">
        <v>8</v>
      </c>
      <c r="AA36" s="10">
        <f t="shared" si="1"/>
        <v>-3</v>
      </c>
    </row>
    <row r="37" spans="1:28" ht="20.100000000000001" customHeight="1" x14ac:dyDescent="0.25">
      <c r="A37" s="1">
        <v>9</v>
      </c>
      <c r="B37" s="9">
        <v>1</v>
      </c>
      <c r="C37" s="9">
        <v>35</v>
      </c>
      <c r="D37" s="1">
        <v>47402</v>
      </c>
      <c r="E37" s="10">
        <v>17</v>
      </c>
      <c r="F37" s="11" t="s">
        <v>29</v>
      </c>
      <c r="G37" t="s">
        <v>67</v>
      </c>
      <c r="H37" s="24" t="s">
        <v>177</v>
      </c>
      <c r="I37" t="s">
        <v>83</v>
      </c>
      <c r="J37" s="10">
        <v>10</v>
      </c>
      <c r="K37" t="s">
        <v>48</v>
      </c>
      <c r="L37" s="10">
        <v>25</v>
      </c>
      <c r="M37" s="10">
        <f>Table1[[#This Row],[CurrentAge]]-Table1[[#This Row],[AgeStart]]</f>
        <v>8</v>
      </c>
      <c r="N37" t="s">
        <v>95</v>
      </c>
      <c r="O37" t="s">
        <v>33</v>
      </c>
      <c r="P37" s="13" t="s">
        <v>125</v>
      </c>
      <c r="Q37" s="13" t="s">
        <v>126</v>
      </c>
      <c r="R37" s="13" t="s">
        <v>43</v>
      </c>
      <c r="S37" s="13" t="s">
        <v>71</v>
      </c>
      <c r="T37" s="15">
        <v>0</v>
      </c>
      <c r="U37" s="15">
        <v>2</v>
      </c>
      <c r="V37" s="15">
        <v>0</v>
      </c>
      <c r="W37" s="15">
        <v>0</v>
      </c>
      <c r="X37" s="9">
        <v>1</v>
      </c>
      <c r="Y37" s="15">
        <v>20</v>
      </c>
      <c r="Z37" s="9">
        <v>26</v>
      </c>
      <c r="AA37" s="10">
        <f t="shared" si="1"/>
        <v>-6</v>
      </c>
      <c r="AB37" s="15"/>
    </row>
    <row r="38" spans="1:28" ht="20.100000000000001" customHeight="1" x14ac:dyDescent="0.25">
      <c r="A38" s="1">
        <v>22</v>
      </c>
      <c r="B38" s="9">
        <v>0</v>
      </c>
      <c r="C38" s="9">
        <v>36</v>
      </c>
      <c r="D38" s="1">
        <v>48737</v>
      </c>
      <c r="E38" s="10">
        <v>16</v>
      </c>
      <c r="F38" s="11" t="s">
        <v>45</v>
      </c>
      <c r="G38" t="s">
        <v>67</v>
      </c>
      <c r="H38" s="24" t="s">
        <v>176</v>
      </c>
      <c r="I38" t="s">
        <v>47</v>
      </c>
      <c r="J38" s="10">
        <v>5</v>
      </c>
      <c r="K38" t="s">
        <v>68</v>
      </c>
      <c r="L38" s="10">
        <v>20</v>
      </c>
      <c r="M38" s="10">
        <f>Table1[[#This Row],[CurrentAge]]-Table1[[#This Row],[AgeStart]]</f>
        <v>4</v>
      </c>
      <c r="N38" t="s">
        <v>49</v>
      </c>
      <c r="O38" t="s">
        <v>33</v>
      </c>
      <c r="P38" s="12" t="s">
        <v>127</v>
      </c>
      <c r="Q38" s="13" t="s">
        <v>128</v>
      </c>
      <c r="R38" s="13" t="s">
        <v>129</v>
      </c>
      <c r="S38" s="13" t="s">
        <v>71</v>
      </c>
      <c r="T38" s="14">
        <v>-1</v>
      </c>
      <c r="U38" s="15">
        <v>0</v>
      </c>
      <c r="V38" s="15">
        <v>0</v>
      </c>
      <c r="W38" s="15">
        <v>0</v>
      </c>
      <c r="X38" s="9">
        <v>1</v>
      </c>
      <c r="Y38" s="10">
        <v>7</v>
      </c>
      <c r="Z38" s="10">
        <v>11</v>
      </c>
      <c r="AA38" s="10">
        <f t="shared" si="1"/>
        <v>-4</v>
      </c>
      <c r="AB38" s="16" t="s">
        <v>130</v>
      </c>
    </row>
    <row r="39" spans="1:28" ht="20.100000000000001" customHeight="1" x14ac:dyDescent="0.25">
      <c r="A39" s="1">
        <v>57</v>
      </c>
      <c r="B39" s="9">
        <v>1</v>
      </c>
      <c r="C39" s="9">
        <v>37</v>
      </c>
      <c r="D39" s="1">
        <v>51553</v>
      </c>
      <c r="E39" s="10">
        <v>16</v>
      </c>
      <c r="F39" s="11" t="s">
        <v>29</v>
      </c>
      <c r="G39" t="s">
        <v>38</v>
      </c>
      <c r="H39" s="24" t="s">
        <v>176</v>
      </c>
      <c r="I39" t="s">
        <v>31</v>
      </c>
      <c r="J39" s="10">
        <v>12</v>
      </c>
      <c r="K39" t="s">
        <v>48</v>
      </c>
      <c r="L39" s="10">
        <v>51</v>
      </c>
      <c r="M39" s="10">
        <f>Table1[[#This Row],[CurrentAge]]-Table1[[#This Row],[AgeStart]]</f>
        <v>35</v>
      </c>
      <c r="N39" t="s">
        <v>40</v>
      </c>
      <c r="O39" t="s">
        <v>57</v>
      </c>
      <c r="P39" s="13" t="s">
        <v>36</v>
      </c>
      <c r="Q39" s="13" t="s">
        <v>42</v>
      </c>
      <c r="R39" s="13" t="s">
        <v>105</v>
      </c>
      <c r="S39" s="13" t="s">
        <v>131</v>
      </c>
      <c r="T39" s="15">
        <v>0</v>
      </c>
      <c r="U39" s="15">
        <v>0</v>
      </c>
      <c r="V39" s="15">
        <v>0</v>
      </c>
      <c r="W39" s="15">
        <v>0</v>
      </c>
      <c r="X39" s="9">
        <v>1</v>
      </c>
      <c r="Y39" s="10">
        <v>7</v>
      </c>
      <c r="Z39" s="10">
        <v>5</v>
      </c>
      <c r="AA39" s="10">
        <f t="shared" si="1"/>
        <v>2</v>
      </c>
      <c r="AB39" s="13" t="s">
        <v>132</v>
      </c>
    </row>
    <row r="40" spans="1:28" ht="20.100000000000001" customHeight="1" x14ac:dyDescent="0.25">
      <c r="A40" s="1">
        <v>43</v>
      </c>
      <c r="B40" s="9">
        <v>1</v>
      </c>
      <c r="C40" s="9">
        <v>38</v>
      </c>
      <c r="D40" s="1">
        <v>51637</v>
      </c>
      <c r="E40" s="10">
        <v>16</v>
      </c>
      <c r="F40" s="11" t="s">
        <v>29</v>
      </c>
      <c r="G40" t="s">
        <v>38</v>
      </c>
      <c r="H40" s="24" t="s">
        <v>176</v>
      </c>
      <c r="I40" t="s">
        <v>31</v>
      </c>
      <c r="J40" s="10">
        <v>20</v>
      </c>
      <c r="K40" t="s">
        <v>68</v>
      </c>
      <c r="L40" s="10">
        <v>20</v>
      </c>
      <c r="M40" s="10">
        <f>Table1[[#This Row],[CurrentAge]]-Table1[[#This Row],[AgeStart]]</f>
        <v>4</v>
      </c>
      <c r="N40" t="s">
        <v>32</v>
      </c>
      <c r="O40" t="s">
        <v>57</v>
      </c>
      <c r="P40" s="12" t="s">
        <v>34</v>
      </c>
      <c r="Q40" s="13" t="s">
        <v>42</v>
      </c>
      <c r="R40" s="13" t="s">
        <v>66</v>
      </c>
      <c r="S40" s="13" t="s">
        <v>133</v>
      </c>
      <c r="T40" s="14">
        <v>-1</v>
      </c>
      <c r="U40" s="15">
        <v>0</v>
      </c>
      <c r="V40" s="15">
        <v>0</v>
      </c>
      <c r="W40" s="15">
        <v>2</v>
      </c>
      <c r="X40" s="9">
        <v>1</v>
      </c>
      <c r="Y40" s="10">
        <v>5</v>
      </c>
      <c r="Z40" s="10">
        <v>6</v>
      </c>
      <c r="AA40" s="10">
        <f t="shared" si="1"/>
        <v>-1</v>
      </c>
      <c r="AB40" s="16" t="s">
        <v>134</v>
      </c>
    </row>
    <row r="41" spans="1:28" ht="20.100000000000001" customHeight="1" x14ac:dyDescent="0.25">
      <c r="A41" s="1">
        <v>2</v>
      </c>
      <c r="B41" s="9">
        <v>1</v>
      </c>
      <c r="C41" s="9">
        <v>39</v>
      </c>
      <c r="D41" s="1">
        <v>52063</v>
      </c>
      <c r="E41" s="10">
        <v>16</v>
      </c>
      <c r="F41" s="11" t="s">
        <v>29</v>
      </c>
      <c r="G41" t="s">
        <v>67</v>
      </c>
      <c r="H41" s="24" t="s">
        <v>175</v>
      </c>
      <c r="I41" t="s">
        <v>47</v>
      </c>
      <c r="J41" s="10">
        <v>15</v>
      </c>
      <c r="K41" t="s">
        <v>48</v>
      </c>
      <c r="L41" s="10">
        <v>26</v>
      </c>
      <c r="M41" s="10">
        <f>Table1[[#This Row],[CurrentAge]]-Table1[[#This Row],[AgeStart]]</f>
        <v>10</v>
      </c>
      <c r="N41" t="s">
        <v>135</v>
      </c>
      <c r="O41" t="s">
        <v>57</v>
      </c>
      <c r="P41" s="13" t="s">
        <v>136</v>
      </c>
      <c r="Q41" s="13" t="s">
        <v>137</v>
      </c>
      <c r="R41" s="12" t="s">
        <v>138</v>
      </c>
      <c r="S41" s="13" t="s">
        <v>71</v>
      </c>
      <c r="T41" s="15">
        <v>0</v>
      </c>
      <c r="U41" s="15">
        <v>1</v>
      </c>
      <c r="V41" s="14">
        <v>-1</v>
      </c>
      <c r="W41" s="15">
        <v>0</v>
      </c>
      <c r="X41" s="9">
        <v>1</v>
      </c>
      <c r="Y41" s="9">
        <v>7</v>
      </c>
      <c r="Z41" s="9">
        <v>10</v>
      </c>
      <c r="AA41" s="10">
        <f t="shared" si="1"/>
        <v>-3</v>
      </c>
    </row>
    <row r="42" spans="1:28" ht="20.100000000000001" customHeight="1" x14ac:dyDescent="0.25">
      <c r="A42" s="1">
        <v>14</v>
      </c>
      <c r="B42" s="9">
        <v>2</v>
      </c>
      <c r="C42" s="9">
        <v>40</v>
      </c>
      <c r="D42" s="1">
        <v>53209</v>
      </c>
      <c r="E42" s="10">
        <v>16</v>
      </c>
      <c r="F42" s="11" t="s">
        <v>29</v>
      </c>
      <c r="G42" t="s">
        <v>139</v>
      </c>
      <c r="H42" s="24" t="s">
        <v>174</v>
      </c>
      <c r="I42" t="s">
        <v>140</v>
      </c>
      <c r="J42" s="10">
        <v>30</v>
      </c>
      <c r="K42" t="s">
        <v>117</v>
      </c>
      <c r="L42" s="10">
        <v>20</v>
      </c>
      <c r="M42" s="10">
        <f>Table1[[#This Row],[CurrentAge]]-Table1[[#This Row],[AgeStart]]</f>
        <v>4</v>
      </c>
      <c r="N42" t="s">
        <v>49</v>
      </c>
      <c r="O42" t="s">
        <v>33</v>
      </c>
      <c r="P42" s="13" t="s">
        <v>74</v>
      </c>
      <c r="Q42" s="13" t="s">
        <v>110</v>
      </c>
      <c r="R42" s="13" t="s">
        <v>41</v>
      </c>
      <c r="S42" s="13" t="s">
        <v>71</v>
      </c>
      <c r="T42" s="15">
        <v>0</v>
      </c>
      <c r="U42" s="15">
        <v>1</v>
      </c>
      <c r="V42" s="15">
        <v>0</v>
      </c>
      <c r="W42" s="15">
        <v>0</v>
      </c>
      <c r="X42" s="9">
        <v>1</v>
      </c>
      <c r="Y42" s="10">
        <v>3</v>
      </c>
      <c r="Z42" s="9">
        <v>7</v>
      </c>
      <c r="AA42" s="10">
        <f t="shared" si="1"/>
        <v>-4</v>
      </c>
    </row>
    <row r="43" spans="1:28" ht="20.100000000000001" customHeight="1" x14ac:dyDescent="0.25">
      <c r="A43" s="1">
        <v>39</v>
      </c>
      <c r="B43" s="9">
        <v>1</v>
      </c>
      <c r="C43" s="9">
        <v>41</v>
      </c>
      <c r="D43" s="1">
        <v>53349</v>
      </c>
      <c r="E43" s="10">
        <v>17</v>
      </c>
      <c r="F43" s="11" t="s">
        <v>45</v>
      </c>
      <c r="G43" t="s">
        <v>38</v>
      </c>
      <c r="H43" s="24" t="s">
        <v>175</v>
      </c>
      <c r="I43" t="s">
        <v>31</v>
      </c>
      <c r="J43" s="10">
        <v>10</v>
      </c>
      <c r="K43" t="s">
        <v>48</v>
      </c>
      <c r="L43" s="10">
        <v>21</v>
      </c>
      <c r="M43" s="10">
        <f>Table1[[#This Row],[CurrentAge]]-Table1[[#This Row],[AgeStart]]</f>
        <v>4</v>
      </c>
      <c r="N43" t="s">
        <v>63</v>
      </c>
      <c r="O43" t="s">
        <v>57</v>
      </c>
      <c r="P43" s="13" t="s">
        <v>41</v>
      </c>
      <c r="Q43" s="13" t="s">
        <v>100</v>
      </c>
      <c r="R43" s="13" t="s">
        <v>43</v>
      </c>
      <c r="S43" s="13" t="s">
        <v>71</v>
      </c>
      <c r="T43" s="15">
        <v>0</v>
      </c>
      <c r="U43" s="15">
        <v>2</v>
      </c>
      <c r="V43" s="15">
        <v>0</v>
      </c>
      <c r="W43" s="15">
        <v>0</v>
      </c>
      <c r="X43" s="9">
        <v>1</v>
      </c>
      <c r="Y43" s="10">
        <v>7</v>
      </c>
      <c r="Z43" s="10">
        <v>4</v>
      </c>
      <c r="AA43" s="10">
        <f t="shared" si="1"/>
        <v>3</v>
      </c>
      <c r="AB43" s="13" t="s">
        <v>141</v>
      </c>
    </row>
    <row r="44" spans="1:28" ht="20.100000000000001" customHeight="1" x14ac:dyDescent="0.25">
      <c r="A44" s="1">
        <v>68</v>
      </c>
      <c r="B44" s="9">
        <v>2</v>
      </c>
      <c r="C44" s="9">
        <v>42</v>
      </c>
      <c r="D44" s="1">
        <v>54097</v>
      </c>
      <c r="E44" s="10">
        <v>16</v>
      </c>
      <c r="F44" s="11" t="s">
        <v>29</v>
      </c>
      <c r="G44" t="s">
        <v>38</v>
      </c>
      <c r="H44" s="24" t="s">
        <v>174</v>
      </c>
      <c r="I44" t="s">
        <v>31</v>
      </c>
      <c r="J44" s="10">
        <v>20</v>
      </c>
      <c r="K44" t="s">
        <v>68</v>
      </c>
      <c r="L44" s="10">
        <v>28</v>
      </c>
      <c r="M44" s="10">
        <f>Table1[[#This Row],[CurrentAge]]-Table1[[#This Row],[AgeStart]]</f>
        <v>12</v>
      </c>
      <c r="N44" t="s">
        <v>63</v>
      </c>
      <c r="O44" t="s">
        <v>57</v>
      </c>
      <c r="P44" s="13" t="s">
        <v>115</v>
      </c>
      <c r="Q44" s="13" t="s">
        <v>142</v>
      </c>
      <c r="R44" s="13" t="s">
        <v>36</v>
      </c>
      <c r="S44" s="13" t="s">
        <v>42</v>
      </c>
      <c r="T44" s="15">
        <v>0</v>
      </c>
      <c r="U44" s="15">
        <v>0</v>
      </c>
      <c r="V44" s="15">
        <v>0</v>
      </c>
      <c r="W44" s="15">
        <v>0</v>
      </c>
      <c r="X44" s="9">
        <v>1</v>
      </c>
      <c r="Y44" s="10">
        <v>9</v>
      </c>
      <c r="Z44" s="10">
        <v>9</v>
      </c>
      <c r="AA44" s="10">
        <f t="shared" si="1"/>
        <v>0</v>
      </c>
    </row>
    <row r="45" spans="1:28" ht="20.100000000000001" customHeight="1" x14ac:dyDescent="0.25">
      <c r="A45" s="1">
        <v>15</v>
      </c>
      <c r="B45" s="9">
        <v>3</v>
      </c>
      <c r="C45" s="9">
        <v>43</v>
      </c>
      <c r="D45" s="1">
        <v>54455</v>
      </c>
      <c r="E45" s="10">
        <v>16</v>
      </c>
      <c r="F45" s="11" t="s">
        <v>29</v>
      </c>
      <c r="G45" t="s">
        <v>67</v>
      </c>
      <c r="H45" s="24" t="s">
        <v>176</v>
      </c>
      <c r="I45" t="s">
        <v>72</v>
      </c>
      <c r="J45" s="10">
        <v>30</v>
      </c>
      <c r="K45" t="s">
        <v>48</v>
      </c>
      <c r="L45" s="10">
        <v>24</v>
      </c>
      <c r="M45" s="10">
        <f>Table1[[#This Row],[CurrentAge]]-Table1[[#This Row],[AgeStart]]</f>
        <v>8</v>
      </c>
      <c r="N45" t="s">
        <v>69</v>
      </c>
      <c r="O45" t="s">
        <v>57</v>
      </c>
      <c r="P45" s="13" t="s">
        <v>43</v>
      </c>
      <c r="Q45" s="13" t="s">
        <v>71</v>
      </c>
      <c r="R45" s="13" t="s">
        <v>43</v>
      </c>
      <c r="S45" s="13" t="s">
        <v>71</v>
      </c>
      <c r="T45" s="15">
        <v>0</v>
      </c>
      <c r="U45" s="15">
        <v>0</v>
      </c>
      <c r="V45" s="15">
        <v>0</v>
      </c>
      <c r="W45" s="15">
        <v>0</v>
      </c>
      <c r="X45" s="9">
        <v>1</v>
      </c>
      <c r="Y45" s="10">
        <v>5</v>
      </c>
      <c r="Z45" s="9">
        <v>14</v>
      </c>
      <c r="AA45" s="10">
        <f t="shared" si="1"/>
        <v>-9</v>
      </c>
    </row>
    <row r="46" spans="1:28" ht="20.100000000000001" customHeight="1" x14ac:dyDescent="0.25">
      <c r="A46" s="1">
        <v>25</v>
      </c>
      <c r="B46" s="9">
        <v>3</v>
      </c>
      <c r="C46" s="9">
        <v>44</v>
      </c>
      <c r="D46" s="1">
        <v>55367</v>
      </c>
      <c r="E46" s="10">
        <v>16</v>
      </c>
      <c r="F46" s="11" t="s">
        <v>45</v>
      </c>
      <c r="G46" t="s">
        <v>38</v>
      </c>
      <c r="H46" s="24" t="s">
        <v>176</v>
      </c>
      <c r="I46" t="s">
        <v>31</v>
      </c>
      <c r="J46" s="10">
        <v>15</v>
      </c>
      <c r="K46" t="s">
        <v>48</v>
      </c>
      <c r="L46" s="10">
        <v>19</v>
      </c>
      <c r="M46" s="10">
        <f>Table1[[#This Row],[CurrentAge]]-Table1[[#This Row],[AgeStart]]</f>
        <v>3</v>
      </c>
      <c r="N46" t="s">
        <v>32</v>
      </c>
      <c r="O46" t="s">
        <v>33</v>
      </c>
      <c r="P46" s="12" t="s">
        <v>127</v>
      </c>
      <c r="Q46" s="12" t="s">
        <v>143</v>
      </c>
      <c r="R46" s="13" t="s">
        <v>43</v>
      </c>
      <c r="S46" s="13" t="s">
        <v>144</v>
      </c>
      <c r="T46" s="14">
        <v>-1</v>
      </c>
      <c r="U46" s="14">
        <v>-1</v>
      </c>
      <c r="V46" s="15">
        <v>0</v>
      </c>
      <c r="W46" s="15">
        <v>2</v>
      </c>
      <c r="X46" s="9">
        <v>1</v>
      </c>
      <c r="Y46" s="10">
        <v>5</v>
      </c>
      <c r="Z46" s="10">
        <v>9</v>
      </c>
      <c r="AA46" s="10">
        <f t="shared" si="1"/>
        <v>-4</v>
      </c>
    </row>
    <row r="47" spans="1:28" ht="20.100000000000001" customHeight="1" x14ac:dyDescent="0.25">
      <c r="A47" s="1">
        <v>19</v>
      </c>
      <c r="B47" s="9">
        <v>0</v>
      </c>
      <c r="C47" s="9">
        <v>45</v>
      </c>
      <c r="D47" s="1">
        <v>55746</v>
      </c>
      <c r="E47" s="10">
        <v>16</v>
      </c>
      <c r="F47" s="11" t="s">
        <v>29</v>
      </c>
      <c r="G47" t="s">
        <v>67</v>
      </c>
      <c r="H47" s="24" t="s">
        <v>175</v>
      </c>
      <c r="I47" t="s">
        <v>83</v>
      </c>
      <c r="J47" s="10">
        <v>11</v>
      </c>
      <c r="K47" t="s">
        <v>117</v>
      </c>
      <c r="L47" s="10">
        <v>22</v>
      </c>
      <c r="M47" s="10">
        <f>Table1[[#This Row],[CurrentAge]]-Table1[[#This Row],[AgeStart]]</f>
        <v>6</v>
      </c>
      <c r="N47" t="s">
        <v>49</v>
      </c>
      <c r="O47" t="s">
        <v>57</v>
      </c>
      <c r="P47" s="13" t="s">
        <v>43</v>
      </c>
      <c r="Q47" s="13" t="s">
        <v>128</v>
      </c>
      <c r="R47" s="13" t="s">
        <v>145</v>
      </c>
      <c r="S47" s="13" t="s">
        <v>71</v>
      </c>
      <c r="T47" s="15">
        <v>0</v>
      </c>
      <c r="U47" s="15">
        <v>0</v>
      </c>
      <c r="V47" s="15">
        <v>0</v>
      </c>
      <c r="W47" s="15">
        <v>0</v>
      </c>
      <c r="X47" s="9">
        <v>1</v>
      </c>
      <c r="Y47" s="10">
        <v>8</v>
      </c>
      <c r="Z47" s="10">
        <v>11</v>
      </c>
      <c r="AA47" s="10">
        <f t="shared" si="1"/>
        <v>-3</v>
      </c>
    </row>
    <row r="48" spans="1:28" ht="20.100000000000001" customHeight="1" x14ac:dyDescent="0.25">
      <c r="A48" s="1">
        <v>29</v>
      </c>
      <c r="B48" s="9">
        <v>2</v>
      </c>
      <c r="C48" s="9">
        <v>46</v>
      </c>
      <c r="D48" s="1">
        <v>56135</v>
      </c>
      <c r="E48" s="10">
        <v>16</v>
      </c>
      <c r="F48" s="11" t="s">
        <v>29</v>
      </c>
      <c r="G48" t="s">
        <v>38</v>
      </c>
      <c r="H48" s="24" t="s">
        <v>174</v>
      </c>
      <c r="I48" t="s">
        <v>31</v>
      </c>
      <c r="J48" s="10">
        <v>10</v>
      </c>
      <c r="K48" t="s">
        <v>48</v>
      </c>
      <c r="L48" s="10">
        <v>26</v>
      </c>
      <c r="M48" s="10">
        <f>Table1[[#This Row],[CurrentAge]]-Table1[[#This Row],[AgeStart]]</f>
        <v>10</v>
      </c>
      <c r="N48" t="s">
        <v>40</v>
      </c>
      <c r="O48" t="s">
        <v>33</v>
      </c>
      <c r="P48" s="13" t="s">
        <v>43</v>
      </c>
      <c r="Q48" s="13" t="s">
        <v>42</v>
      </c>
      <c r="R48" s="13" t="s">
        <v>43</v>
      </c>
      <c r="S48" s="13" t="s">
        <v>71</v>
      </c>
      <c r="T48" s="15">
        <v>0</v>
      </c>
      <c r="U48" s="15">
        <v>0</v>
      </c>
      <c r="V48" s="15">
        <v>0</v>
      </c>
      <c r="W48" s="15">
        <v>0</v>
      </c>
      <c r="X48" s="9">
        <v>1</v>
      </c>
      <c r="Y48" s="10">
        <v>6</v>
      </c>
      <c r="Z48" s="10">
        <v>6</v>
      </c>
      <c r="AA48" s="10">
        <f t="shared" si="1"/>
        <v>0</v>
      </c>
    </row>
    <row r="49" spans="1:28" ht="20.100000000000001" customHeight="1" x14ac:dyDescent="0.25">
      <c r="A49" s="1">
        <v>33</v>
      </c>
      <c r="B49" s="9">
        <v>3</v>
      </c>
      <c r="C49" s="9">
        <v>47</v>
      </c>
      <c r="D49" s="1">
        <v>56233</v>
      </c>
      <c r="E49" s="10">
        <v>16</v>
      </c>
      <c r="F49" s="11" t="s">
        <v>29</v>
      </c>
      <c r="G49" t="s">
        <v>38</v>
      </c>
      <c r="H49" s="24" t="s">
        <v>176</v>
      </c>
      <c r="I49" t="s">
        <v>116</v>
      </c>
      <c r="J49" s="10">
        <v>80</v>
      </c>
      <c r="K49" t="s">
        <v>117</v>
      </c>
      <c r="L49" s="10">
        <v>23</v>
      </c>
      <c r="M49" s="10">
        <f>Table1[[#This Row],[CurrentAge]]-Table1[[#This Row],[AgeStart]]</f>
        <v>7</v>
      </c>
      <c r="N49" t="s">
        <v>95</v>
      </c>
      <c r="O49" t="s">
        <v>57</v>
      </c>
      <c r="P49" s="13" t="s">
        <v>43</v>
      </c>
      <c r="Q49" s="13" t="s">
        <v>128</v>
      </c>
      <c r="R49" s="13" t="s">
        <v>43</v>
      </c>
      <c r="S49" s="13" t="s">
        <v>71</v>
      </c>
      <c r="T49" s="15">
        <v>0</v>
      </c>
      <c r="U49" s="15">
        <v>0</v>
      </c>
      <c r="V49" s="15">
        <v>0</v>
      </c>
      <c r="W49" s="15">
        <v>0</v>
      </c>
      <c r="X49" s="9">
        <v>1</v>
      </c>
      <c r="Y49" s="10">
        <v>7</v>
      </c>
      <c r="Z49" s="10">
        <v>11</v>
      </c>
      <c r="AA49" s="10">
        <f t="shared" si="1"/>
        <v>-4</v>
      </c>
      <c r="AB49" s="16" t="s">
        <v>130</v>
      </c>
    </row>
    <row r="50" spans="1:28" ht="20.100000000000001" customHeight="1" x14ac:dyDescent="0.25">
      <c r="A50" s="1">
        <v>37</v>
      </c>
      <c r="B50" s="9">
        <v>3</v>
      </c>
      <c r="C50" s="9">
        <v>48</v>
      </c>
      <c r="D50" s="1">
        <v>59774</v>
      </c>
      <c r="E50" s="10">
        <v>16</v>
      </c>
      <c r="F50" s="11" t="s">
        <v>29</v>
      </c>
      <c r="G50" t="s">
        <v>38</v>
      </c>
      <c r="H50" s="24" t="s">
        <v>175</v>
      </c>
      <c r="I50" t="s">
        <v>77</v>
      </c>
      <c r="J50" s="10">
        <v>20</v>
      </c>
      <c r="K50" t="s">
        <v>48</v>
      </c>
      <c r="L50" s="10">
        <v>26</v>
      </c>
      <c r="M50" s="10">
        <f>Table1[[#This Row],[CurrentAge]]-Table1[[#This Row],[AgeStart]]</f>
        <v>10</v>
      </c>
      <c r="N50" t="s">
        <v>40</v>
      </c>
      <c r="O50" t="s">
        <v>57</v>
      </c>
      <c r="P50" s="13" t="s">
        <v>74</v>
      </c>
      <c r="Q50" s="13" t="s">
        <v>71</v>
      </c>
      <c r="R50" s="13" t="s">
        <v>146</v>
      </c>
      <c r="S50" s="13" t="s">
        <v>71</v>
      </c>
      <c r="T50" s="15">
        <v>0</v>
      </c>
      <c r="U50" s="15">
        <v>0</v>
      </c>
      <c r="V50" s="15">
        <v>0</v>
      </c>
      <c r="W50" s="15">
        <v>0</v>
      </c>
      <c r="X50" s="9">
        <v>1</v>
      </c>
      <c r="Y50" s="10">
        <v>4</v>
      </c>
      <c r="Z50" s="10">
        <v>9</v>
      </c>
      <c r="AA50" s="10">
        <f t="shared" si="1"/>
        <v>-5</v>
      </c>
    </row>
    <row r="51" spans="1:28" ht="20.100000000000001" customHeight="1" x14ac:dyDescent="0.25">
      <c r="A51" s="1">
        <v>3</v>
      </c>
      <c r="B51" s="9">
        <v>2</v>
      </c>
      <c r="C51" s="9">
        <v>49</v>
      </c>
      <c r="D51" s="1">
        <v>63923</v>
      </c>
      <c r="E51" s="10">
        <v>18</v>
      </c>
      <c r="F51" s="11" t="s">
        <v>29</v>
      </c>
      <c r="G51" t="s">
        <v>147</v>
      </c>
      <c r="H51" s="24" t="s">
        <v>174</v>
      </c>
      <c r="I51" t="s">
        <v>31</v>
      </c>
      <c r="J51" s="10">
        <v>5</v>
      </c>
      <c r="K51" t="s">
        <v>48</v>
      </c>
      <c r="L51" s="10">
        <v>21</v>
      </c>
      <c r="M51" s="10">
        <f>Table1[[#This Row],[CurrentAge]]-Table1[[#This Row],[AgeStart]]</f>
        <v>3</v>
      </c>
      <c r="N51" t="s">
        <v>32</v>
      </c>
      <c r="O51" t="s">
        <v>33</v>
      </c>
      <c r="P51" s="12" t="s">
        <v>148</v>
      </c>
      <c r="Q51" s="13" t="s">
        <v>71</v>
      </c>
      <c r="R51" s="13" t="s">
        <v>74</v>
      </c>
      <c r="S51" s="13" t="s">
        <v>149</v>
      </c>
      <c r="T51" s="14">
        <v>-1</v>
      </c>
      <c r="U51" s="15">
        <v>0</v>
      </c>
      <c r="V51" s="15">
        <v>0</v>
      </c>
      <c r="W51" s="15">
        <v>1</v>
      </c>
      <c r="X51" s="9">
        <v>1</v>
      </c>
      <c r="Y51" s="9">
        <v>2</v>
      </c>
      <c r="Z51" s="9">
        <v>15</v>
      </c>
      <c r="AA51" s="10">
        <f t="shared" si="1"/>
        <v>-13</v>
      </c>
      <c r="AB51" s="16" t="s">
        <v>150</v>
      </c>
    </row>
    <row r="52" spans="1:28" ht="20.100000000000001" customHeight="1" x14ac:dyDescent="0.25">
      <c r="A52" s="1">
        <v>61</v>
      </c>
      <c r="B52" s="9">
        <v>1</v>
      </c>
      <c r="C52" s="9">
        <v>50</v>
      </c>
      <c r="D52" s="1">
        <v>64087</v>
      </c>
      <c r="E52" s="10">
        <v>17</v>
      </c>
      <c r="F52" s="11" t="s">
        <v>29</v>
      </c>
      <c r="G52" t="s">
        <v>38</v>
      </c>
      <c r="H52" s="24" t="s">
        <v>175</v>
      </c>
      <c r="I52" t="s">
        <v>31</v>
      </c>
      <c r="J52" s="10">
        <v>8</v>
      </c>
      <c r="K52" t="s">
        <v>48</v>
      </c>
      <c r="L52" s="10">
        <v>24</v>
      </c>
      <c r="M52" s="10">
        <f>Table1[[#This Row],[CurrentAge]]-Table1[[#This Row],[AgeStart]]</f>
        <v>7</v>
      </c>
      <c r="N52" t="s">
        <v>40</v>
      </c>
      <c r="O52" t="s">
        <v>33</v>
      </c>
      <c r="P52" s="13" t="s">
        <v>151</v>
      </c>
      <c r="Q52" s="13" t="s">
        <v>152</v>
      </c>
      <c r="R52" s="13" t="s">
        <v>43</v>
      </c>
      <c r="S52" s="13" t="s">
        <v>42</v>
      </c>
      <c r="T52" s="15">
        <v>0</v>
      </c>
      <c r="U52" s="15">
        <v>0</v>
      </c>
      <c r="V52" s="15">
        <v>0</v>
      </c>
      <c r="W52" s="15">
        <v>0</v>
      </c>
      <c r="X52" s="9">
        <v>1</v>
      </c>
      <c r="Y52" s="10">
        <v>4</v>
      </c>
      <c r="Z52" s="10">
        <v>7</v>
      </c>
      <c r="AA52" s="10">
        <f t="shared" si="1"/>
        <v>-3</v>
      </c>
    </row>
    <row r="53" spans="1:28" ht="20.100000000000001" customHeight="1" x14ac:dyDescent="0.25">
      <c r="A53" s="1">
        <v>13</v>
      </c>
      <c r="B53" s="9">
        <v>0</v>
      </c>
      <c r="C53" s="9">
        <v>51</v>
      </c>
      <c r="D53" s="1">
        <v>97973</v>
      </c>
      <c r="E53" s="10">
        <v>16</v>
      </c>
      <c r="F53" s="11" t="s">
        <v>29</v>
      </c>
      <c r="G53" t="s">
        <v>139</v>
      </c>
      <c r="H53" s="24" t="s">
        <v>177</v>
      </c>
      <c r="I53" t="s">
        <v>47</v>
      </c>
      <c r="J53" s="10">
        <v>15</v>
      </c>
      <c r="K53" t="s">
        <v>48</v>
      </c>
      <c r="L53" s="10">
        <v>21</v>
      </c>
      <c r="M53" s="10">
        <f>Table1[[#This Row],[CurrentAge]]-Table1[[#This Row],[AgeStart]]</f>
        <v>5</v>
      </c>
      <c r="N53" t="s">
        <v>49</v>
      </c>
      <c r="O53" t="s">
        <v>33</v>
      </c>
      <c r="P53" s="13" t="s">
        <v>43</v>
      </c>
      <c r="Q53" s="13" t="s">
        <v>71</v>
      </c>
      <c r="R53" s="13" t="s">
        <v>43</v>
      </c>
      <c r="S53" s="13" t="s">
        <v>172</v>
      </c>
      <c r="T53" s="15">
        <v>0</v>
      </c>
      <c r="U53" s="15">
        <v>0</v>
      </c>
      <c r="V53" s="15">
        <v>0</v>
      </c>
      <c r="W53" s="15">
        <v>0</v>
      </c>
      <c r="X53" s="9">
        <v>1</v>
      </c>
      <c r="Y53" s="10">
        <v>5</v>
      </c>
      <c r="Z53" s="9">
        <v>10</v>
      </c>
      <c r="AA53" s="10">
        <f>Y53-Z53</f>
        <v>-5</v>
      </c>
    </row>
    <row r="54" spans="1:28" ht="20.100000000000001" customHeight="1" x14ac:dyDescent="0.25">
      <c r="A54" s="1">
        <v>53</v>
      </c>
      <c r="B54" s="9">
        <v>0</v>
      </c>
      <c r="C54" s="9">
        <v>52</v>
      </c>
      <c r="D54" s="1">
        <v>69876</v>
      </c>
      <c r="E54" s="10">
        <v>16</v>
      </c>
      <c r="F54" s="11" t="s">
        <v>45</v>
      </c>
      <c r="G54" t="s">
        <v>67</v>
      </c>
      <c r="H54" s="24" t="s">
        <v>175</v>
      </c>
      <c r="I54" t="s">
        <v>31</v>
      </c>
      <c r="J54" s="10">
        <v>20</v>
      </c>
      <c r="K54" t="s">
        <v>48</v>
      </c>
      <c r="L54" s="10">
        <v>19</v>
      </c>
      <c r="M54" s="10">
        <f>Table1[[#This Row],[CurrentAge]]-Table1[[#This Row],[AgeStart]]</f>
        <v>3</v>
      </c>
      <c r="N54" t="s">
        <v>49</v>
      </c>
      <c r="O54" t="s">
        <v>57</v>
      </c>
      <c r="P54" s="13" t="s">
        <v>64</v>
      </c>
      <c r="Q54" s="13" t="s">
        <v>42</v>
      </c>
      <c r="R54" s="13" t="s">
        <v>66</v>
      </c>
      <c r="S54" s="13" t="s">
        <v>42</v>
      </c>
      <c r="T54" s="15">
        <v>0</v>
      </c>
      <c r="U54" s="15">
        <v>0</v>
      </c>
      <c r="V54" s="15">
        <v>0</v>
      </c>
      <c r="W54" s="15">
        <v>0</v>
      </c>
      <c r="X54" s="9">
        <v>1</v>
      </c>
      <c r="Y54" s="10">
        <v>7</v>
      </c>
      <c r="Z54" s="10">
        <v>8</v>
      </c>
      <c r="AA54" s="10">
        <f t="shared" si="1"/>
        <v>-1</v>
      </c>
    </row>
    <row r="55" spans="1:28" ht="20.100000000000001" customHeight="1" x14ac:dyDescent="0.25">
      <c r="A55" s="1">
        <v>46</v>
      </c>
      <c r="B55" s="9">
        <v>0</v>
      </c>
      <c r="C55" s="9">
        <v>53</v>
      </c>
      <c r="D55" s="1">
        <v>70253</v>
      </c>
      <c r="E55" s="10">
        <v>16</v>
      </c>
      <c r="F55" s="11" t="s">
        <v>29</v>
      </c>
      <c r="G55" t="s">
        <v>30</v>
      </c>
      <c r="H55" s="24" t="s">
        <v>177</v>
      </c>
      <c r="I55" t="s">
        <v>31</v>
      </c>
      <c r="J55" s="10">
        <v>10</v>
      </c>
      <c r="K55" t="s">
        <v>48</v>
      </c>
      <c r="L55" s="10">
        <v>21</v>
      </c>
      <c r="M55" s="10">
        <f>Table1[[#This Row],[CurrentAge]]-Table1[[#This Row],[AgeStart]]</f>
        <v>5</v>
      </c>
      <c r="N55" t="s">
        <v>32</v>
      </c>
      <c r="O55" t="s">
        <v>33</v>
      </c>
      <c r="P55" s="13" t="s">
        <v>64</v>
      </c>
      <c r="Q55" s="13" t="s">
        <v>65</v>
      </c>
      <c r="R55" s="13" t="s">
        <v>154</v>
      </c>
      <c r="S55" s="13" t="s">
        <v>155</v>
      </c>
      <c r="T55" s="15">
        <v>0</v>
      </c>
      <c r="U55" s="15">
        <v>0</v>
      </c>
      <c r="V55" s="15">
        <v>0</v>
      </c>
      <c r="W55" s="15">
        <v>1</v>
      </c>
      <c r="X55" s="9">
        <v>1</v>
      </c>
      <c r="Y55" s="10">
        <v>4</v>
      </c>
      <c r="Z55" s="10">
        <v>4</v>
      </c>
      <c r="AA55" s="10">
        <f t="shared" si="1"/>
        <v>0</v>
      </c>
    </row>
    <row r="56" spans="1:28" ht="20.100000000000001" customHeight="1" x14ac:dyDescent="0.25">
      <c r="A56" s="1">
        <v>45</v>
      </c>
      <c r="B56" s="9">
        <v>3</v>
      </c>
      <c r="C56" s="9">
        <v>54</v>
      </c>
      <c r="D56" s="1">
        <v>70615</v>
      </c>
      <c r="E56" s="10">
        <v>16</v>
      </c>
      <c r="F56" s="11" t="s">
        <v>45</v>
      </c>
      <c r="G56" t="s">
        <v>30</v>
      </c>
      <c r="H56" s="24" t="s">
        <v>177</v>
      </c>
      <c r="I56" t="s">
        <v>31</v>
      </c>
      <c r="J56" s="10">
        <v>7</v>
      </c>
      <c r="K56" t="s">
        <v>48</v>
      </c>
      <c r="L56" s="10">
        <v>21</v>
      </c>
      <c r="M56" s="10">
        <f>Table1[[#This Row],[CurrentAge]]-Table1[[#This Row],[AgeStart]]</f>
        <v>5</v>
      </c>
      <c r="N56" t="s">
        <v>32</v>
      </c>
      <c r="O56" t="s">
        <v>33</v>
      </c>
      <c r="P56" s="13" t="s">
        <v>64</v>
      </c>
      <c r="Q56" s="13" t="s">
        <v>53</v>
      </c>
      <c r="R56" s="13" t="s">
        <v>60</v>
      </c>
      <c r="S56" s="13" t="s">
        <v>71</v>
      </c>
      <c r="T56" s="15">
        <v>0</v>
      </c>
      <c r="U56" s="15">
        <v>1</v>
      </c>
      <c r="V56" s="15">
        <v>0</v>
      </c>
      <c r="W56" s="15">
        <v>0</v>
      </c>
      <c r="X56" s="9">
        <v>1</v>
      </c>
      <c r="Y56" s="10">
        <v>5</v>
      </c>
      <c r="Z56" s="10">
        <v>5</v>
      </c>
      <c r="AA56" s="10">
        <f t="shared" si="1"/>
        <v>0</v>
      </c>
    </row>
    <row r="57" spans="1:28" ht="20.100000000000001" customHeight="1" x14ac:dyDescent="0.25">
      <c r="A57" s="1">
        <v>50</v>
      </c>
      <c r="B57" s="9">
        <v>1</v>
      </c>
      <c r="C57" s="9">
        <v>55</v>
      </c>
      <c r="D57" s="1">
        <v>71291</v>
      </c>
      <c r="E57" s="10">
        <v>16</v>
      </c>
      <c r="F57" s="11" t="s">
        <v>45</v>
      </c>
      <c r="G57" t="s">
        <v>67</v>
      </c>
      <c r="H57" s="24" t="s">
        <v>174</v>
      </c>
      <c r="I57" t="s">
        <v>116</v>
      </c>
      <c r="J57" s="10">
        <v>150</v>
      </c>
      <c r="K57" t="s">
        <v>117</v>
      </c>
      <c r="L57" s="10">
        <v>18</v>
      </c>
      <c r="M57" s="10">
        <f>Table1[[#This Row],[CurrentAge]]-Table1[[#This Row],[AgeStart]]</f>
        <v>2</v>
      </c>
      <c r="N57" t="s">
        <v>49</v>
      </c>
      <c r="O57" t="s">
        <v>57</v>
      </c>
      <c r="P57" s="13" t="s">
        <v>58</v>
      </c>
      <c r="Q57" s="13" t="s">
        <v>96</v>
      </c>
      <c r="R57" s="13" t="s">
        <v>66</v>
      </c>
      <c r="S57" s="13" t="s">
        <v>156</v>
      </c>
      <c r="T57" s="15">
        <v>0</v>
      </c>
      <c r="U57" s="15">
        <v>2</v>
      </c>
      <c r="V57" s="15">
        <v>0</v>
      </c>
      <c r="W57" s="15">
        <v>0</v>
      </c>
      <c r="X57" s="9">
        <v>1</v>
      </c>
      <c r="Y57" s="10">
        <v>8</v>
      </c>
      <c r="Z57" s="10">
        <v>10</v>
      </c>
      <c r="AA57" s="10">
        <f t="shared" si="1"/>
        <v>-2</v>
      </c>
    </row>
    <row r="58" spans="1:28" ht="20.100000000000001" customHeight="1" x14ac:dyDescent="0.25">
      <c r="A58" s="1">
        <v>67</v>
      </c>
      <c r="B58" s="9">
        <v>1</v>
      </c>
      <c r="C58" s="9">
        <v>56</v>
      </c>
      <c r="D58" s="1">
        <v>72799</v>
      </c>
      <c r="E58" s="10">
        <v>16</v>
      </c>
      <c r="F58" s="11" t="s">
        <v>29</v>
      </c>
      <c r="G58" t="s">
        <v>38</v>
      </c>
      <c r="H58" s="24" t="s">
        <v>174</v>
      </c>
      <c r="I58" t="s">
        <v>31</v>
      </c>
      <c r="J58" s="10">
        <v>20</v>
      </c>
      <c r="K58" t="s">
        <v>48</v>
      </c>
      <c r="L58" s="10">
        <v>25</v>
      </c>
      <c r="M58" s="10">
        <f>Table1[[#This Row],[CurrentAge]]-Table1[[#This Row],[AgeStart]]</f>
        <v>9</v>
      </c>
      <c r="N58" t="s">
        <v>63</v>
      </c>
      <c r="O58" t="s">
        <v>33</v>
      </c>
      <c r="P58" s="13" t="s">
        <v>115</v>
      </c>
      <c r="Q58" s="13" t="s">
        <v>42</v>
      </c>
      <c r="R58" s="13" t="s">
        <v>157</v>
      </c>
      <c r="S58" s="13" t="s">
        <v>158</v>
      </c>
      <c r="T58" s="15">
        <v>0</v>
      </c>
      <c r="U58" s="15">
        <v>0</v>
      </c>
      <c r="V58" s="15">
        <v>0</v>
      </c>
      <c r="W58" s="15">
        <v>1</v>
      </c>
      <c r="X58" s="9">
        <v>1</v>
      </c>
      <c r="Y58" s="10">
        <v>10</v>
      </c>
      <c r="Z58" s="10">
        <v>8</v>
      </c>
      <c r="AA58" s="10">
        <f t="shared" si="1"/>
        <v>2</v>
      </c>
    </row>
    <row r="59" spans="1:28" ht="20.100000000000001" customHeight="1" x14ac:dyDescent="0.25">
      <c r="A59" s="1">
        <v>65</v>
      </c>
      <c r="B59" s="9">
        <v>2</v>
      </c>
      <c r="C59" s="9">
        <v>57</v>
      </c>
      <c r="D59" s="1">
        <v>75601</v>
      </c>
      <c r="E59" s="10">
        <v>17</v>
      </c>
      <c r="F59" s="11" t="s">
        <v>45</v>
      </c>
      <c r="G59" t="s">
        <v>38</v>
      </c>
      <c r="H59" s="24" t="s">
        <v>177</v>
      </c>
      <c r="I59" t="s">
        <v>31</v>
      </c>
      <c r="J59" s="10">
        <v>8</v>
      </c>
      <c r="K59" t="s">
        <v>68</v>
      </c>
      <c r="L59" s="10">
        <v>18</v>
      </c>
      <c r="M59" s="10">
        <f>Table1[[#This Row],[CurrentAge]]-Table1[[#This Row],[AgeStart]]</f>
        <v>1</v>
      </c>
      <c r="N59" t="s">
        <v>32</v>
      </c>
      <c r="O59" t="s">
        <v>57</v>
      </c>
      <c r="P59" s="13" t="s">
        <v>58</v>
      </c>
      <c r="Q59" s="13" t="s">
        <v>101</v>
      </c>
      <c r="R59" s="13" t="s">
        <v>60</v>
      </c>
      <c r="S59" s="13" t="s">
        <v>71</v>
      </c>
      <c r="T59" s="15">
        <v>0</v>
      </c>
      <c r="U59" s="15">
        <v>1</v>
      </c>
      <c r="V59" s="15">
        <v>0</v>
      </c>
      <c r="W59" s="15">
        <v>0</v>
      </c>
      <c r="X59" s="9">
        <v>1</v>
      </c>
      <c r="Y59" s="10">
        <v>8</v>
      </c>
      <c r="Z59" s="10">
        <v>8</v>
      </c>
      <c r="AA59" s="10">
        <f t="shared" si="1"/>
        <v>0</v>
      </c>
    </row>
    <row r="60" spans="1:28" ht="20.100000000000001" customHeight="1" x14ac:dyDescent="0.25">
      <c r="A60" s="1">
        <v>34</v>
      </c>
      <c r="B60" s="9">
        <v>0</v>
      </c>
      <c r="C60" s="9">
        <v>58</v>
      </c>
      <c r="D60" s="1">
        <v>76001</v>
      </c>
      <c r="E60" s="10">
        <v>16</v>
      </c>
      <c r="F60" s="11" t="s">
        <v>29</v>
      </c>
      <c r="G60" t="s">
        <v>38</v>
      </c>
      <c r="H60" s="24" t="s">
        <v>176</v>
      </c>
      <c r="I60" t="s">
        <v>31</v>
      </c>
      <c r="J60" s="10">
        <v>25</v>
      </c>
      <c r="K60" t="s">
        <v>68</v>
      </c>
      <c r="L60" s="10">
        <v>24</v>
      </c>
      <c r="M60" s="10">
        <f>Table1[[#This Row],[CurrentAge]]-Table1[[#This Row],[AgeStart]]</f>
        <v>8</v>
      </c>
      <c r="N60" t="s">
        <v>159</v>
      </c>
      <c r="O60" t="s">
        <v>57</v>
      </c>
      <c r="P60" s="13" t="s">
        <v>74</v>
      </c>
      <c r="Q60" s="13" t="s">
        <v>160</v>
      </c>
      <c r="R60" s="13" t="s">
        <v>74</v>
      </c>
      <c r="S60" s="13" t="s">
        <v>161</v>
      </c>
      <c r="T60" s="15">
        <v>0</v>
      </c>
      <c r="U60" s="15">
        <v>0</v>
      </c>
      <c r="V60" s="15">
        <v>0</v>
      </c>
      <c r="W60" s="15">
        <v>0</v>
      </c>
      <c r="X60" s="9">
        <v>1</v>
      </c>
      <c r="Y60" s="10">
        <v>5</v>
      </c>
      <c r="Z60" s="10">
        <v>8</v>
      </c>
      <c r="AA60" s="10">
        <f t="shared" si="1"/>
        <v>-3</v>
      </c>
    </row>
    <row r="61" spans="1:28" ht="20.100000000000001" customHeight="1" x14ac:dyDescent="0.25">
      <c r="A61" s="1">
        <v>23</v>
      </c>
      <c r="B61" s="9">
        <v>1</v>
      </c>
      <c r="C61" s="9">
        <v>59</v>
      </c>
      <c r="D61" s="1">
        <v>79820</v>
      </c>
      <c r="E61" s="10">
        <v>16</v>
      </c>
      <c r="F61" s="11" t="s">
        <v>29</v>
      </c>
      <c r="G61" t="s">
        <v>67</v>
      </c>
      <c r="H61" s="24" t="s">
        <v>175</v>
      </c>
      <c r="I61" t="s">
        <v>83</v>
      </c>
      <c r="J61" s="10">
        <v>20</v>
      </c>
      <c r="K61" t="s">
        <v>48</v>
      </c>
      <c r="L61" s="10">
        <v>27</v>
      </c>
      <c r="M61" s="10">
        <f>Table1[[#This Row],[CurrentAge]]-Table1[[#This Row],[AgeStart]]</f>
        <v>11</v>
      </c>
      <c r="N61" t="s">
        <v>153</v>
      </c>
      <c r="O61" t="s">
        <v>33</v>
      </c>
      <c r="P61" s="13" t="s">
        <v>43</v>
      </c>
      <c r="Q61" s="13" t="s">
        <v>42</v>
      </c>
      <c r="R61" s="12" t="s">
        <v>162</v>
      </c>
      <c r="S61" s="13" t="s">
        <v>163</v>
      </c>
      <c r="T61" s="15">
        <v>0</v>
      </c>
      <c r="U61" s="15">
        <v>0</v>
      </c>
      <c r="V61" s="14">
        <v>-1</v>
      </c>
      <c r="W61" s="15">
        <v>0</v>
      </c>
      <c r="X61" s="9">
        <v>1</v>
      </c>
      <c r="Y61" s="10">
        <v>5</v>
      </c>
      <c r="Z61" s="10">
        <v>8</v>
      </c>
      <c r="AA61" s="10">
        <f t="shared" si="1"/>
        <v>-3</v>
      </c>
    </row>
    <row r="62" spans="1:28" ht="20.100000000000001" customHeight="1" x14ac:dyDescent="0.25">
      <c r="A62" s="1">
        <v>52</v>
      </c>
      <c r="B62" s="9">
        <v>3</v>
      </c>
      <c r="C62" s="9">
        <v>60</v>
      </c>
      <c r="D62" s="1">
        <v>83008</v>
      </c>
      <c r="E62" s="10">
        <v>16</v>
      </c>
      <c r="F62" s="11" t="s">
        <v>45</v>
      </c>
      <c r="G62" t="s">
        <v>67</v>
      </c>
      <c r="H62" s="24" t="s">
        <v>176</v>
      </c>
      <c r="I62" t="s">
        <v>31</v>
      </c>
      <c r="J62" s="10">
        <v>5</v>
      </c>
      <c r="K62" t="s">
        <v>48</v>
      </c>
      <c r="L62" s="10">
        <v>19</v>
      </c>
      <c r="M62" s="10">
        <f>Table1[[#This Row],[CurrentAge]]-Table1[[#This Row],[AgeStart]]</f>
        <v>3</v>
      </c>
      <c r="N62" t="s">
        <v>49</v>
      </c>
      <c r="O62" t="s">
        <v>33</v>
      </c>
      <c r="P62" s="13" t="s">
        <v>164</v>
      </c>
      <c r="Q62" s="13" t="s">
        <v>65</v>
      </c>
      <c r="R62" s="13" t="s">
        <v>66</v>
      </c>
      <c r="S62" s="13" t="s">
        <v>42</v>
      </c>
      <c r="T62" s="15">
        <v>0</v>
      </c>
      <c r="U62" s="15">
        <v>0</v>
      </c>
      <c r="V62" s="15">
        <v>0</v>
      </c>
      <c r="W62" s="15">
        <v>0</v>
      </c>
      <c r="X62" s="9">
        <v>1</v>
      </c>
      <c r="Y62" s="10">
        <v>9</v>
      </c>
      <c r="Z62" s="10">
        <v>12</v>
      </c>
      <c r="AA62" s="10">
        <f t="shared" si="1"/>
        <v>-3</v>
      </c>
    </row>
    <row r="63" spans="1:28" ht="20.100000000000001" customHeight="1" x14ac:dyDescent="0.25">
      <c r="A63" s="1">
        <v>38</v>
      </c>
      <c r="B63" s="9">
        <v>0</v>
      </c>
      <c r="C63" s="9">
        <v>61</v>
      </c>
      <c r="D63" s="1">
        <v>84384</v>
      </c>
      <c r="E63" s="10">
        <v>16</v>
      </c>
      <c r="F63" s="11" t="s">
        <v>29</v>
      </c>
      <c r="G63" t="s">
        <v>38</v>
      </c>
      <c r="H63" s="24" t="s">
        <v>176</v>
      </c>
      <c r="I63" t="s">
        <v>31</v>
      </c>
      <c r="J63" s="10">
        <v>10</v>
      </c>
      <c r="K63" t="s">
        <v>48</v>
      </c>
      <c r="L63" s="10">
        <v>26</v>
      </c>
      <c r="M63" s="10">
        <f>Table1[[#This Row],[CurrentAge]]-Table1[[#This Row],[AgeStart]]</f>
        <v>10</v>
      </c>
      <c r="N63" t="s">
        <v>40</v>
      </c>
      <c r="O63" t="s">
        <v>33</v>
      </c>
      <c r="P63" s="13" t="s">
        <v>165</v>
      </c>
      <c r="Q63" s="13" t="s">
        <v>44</v>
      </c>
      <c r="R63" s="13" t="s">
        <v>60</v>
      </c>
      <c r="S63" s="13" t="s">
        <v>71</v>
      </c>
      <c r="T63" s="15">
        <v>0</v>
      </c>
      <c r="U63" s="15">
        <v>1</v>
      </c>
      <c r="V63" s="15">
        <v>0</v>
      </c>
      <c r="W63" s="15">
        <v>0</v>
      </c>
      <c r="X63" s="9">
        <v>1</v>
      </c>
      <c r="Y63" s="10">
        <v>4</v>
      </c>
      <c r="Z63" s="10">
        <v>10</v>
      </c>
      <c r="AA63" s="10">
        <f t="shared" si="1"/>
        <v>-6</v>
      </c>
    </row>
    <row r="64" spans="1:28" ht="20.100000000000001" customHeight="1" x14ac:dyDescent="0.25">
      <c r="A64" s="1">
        <v>36</v>
      </c>
      <c r="B64" s="9">
        <v>2</v>
      </c>
      <c r="C64" s="9">
        <v>62</v>
      </c>
      <c r="D64" s="1">
        <v>86812</v>
      </c>
      <c r="E64" s="10">
        <v>16</v>
      </c>
      <c r="F64" s="11" t="s">
        <v>29</v>
      </c>
      <c r="G64" t="s">
        <v>38</v>
      </c>
      <c r="H64" s="24" t="s">
        <v>175</v>
      </c>
      <c r="I64" t="s">
        <v>77</v>
      </c>
      <c r="J64" s="10">
        <v>20</v>
      </c>
      <c r="K64" t="s">
        <v>48</v>
      </c>
      <c r="L64" s="10">
        <v>65</v>
      </c>
      <c r="M64" s="10">
        <f>Table1[[#This Row],[CurrentAge]]-Table1[[#This Row],[AgeStart]]</f>
        <v>49</v>
      </c>
      <c r="N64" t="s">
        <v>32</v>
      </c>
      <c r="O64" t="s">
        <v>33</v>
      </c>
      <c r="P64" s="13" t="s">
        <v>151</v>
      </c>
      <c r="Q64" s="13" t="s">
        <v>166</v>
      </c>
      <c r="R64" s="13" t="s">
        <v>43</v>
      </c>
      <c r="S64" s="13" t="s">
        <v>71</v>
      </c>
      <c r="T64" s="15">
        <v>0</v>
      </c>
      <c r="U64" s="15">
        <v>0</v>
      </c>
      <c r="V64" s="15">
        <v>0</v>
      </c>
      <c r="W64" s="15">
        <v>0</v>
      </c>
      <c r="X64" s="9">
        <v>1</v>
      </c>
      <c r="Y64" s="10">
        <v>8</v>
      </c>
      <c r="Z64" s="10">
        <v>5</v>
      </c>
      <c r="AA64" s="10">
        <f t="shared" si="1"/>
        <v>3</v>
      </c>
    </row>
    <row r="65" spans="1:28" ht="20.100000000000001" customHeight="1" x14ac:dyDescent="0.25">
      <c r="A65" s="1">
        <v>30</v>
      </c>
      <c r="B65" s="9">
        <v>3</v>
      </c>
      <c r="C65" s="9">
        <v>63</v>
      </c>
      <c r="D65" s="1">
        <v>91060</v>
      </c>
      <c r="E65" s="10">
        <v>16</v>
      </c>
      <c r="F65" s="11" t="s">
        <v>29</v>
      </c>
      <c r="G65" t="s">
        <v>38</v>
      </c>
      <c r="H65" s="24" t="s">
        <v>176</v>
      </c>
      <c r="I65" t="s">
        <v>31</v>
      </c>
      <c r="J65" s="10">
        <v>20</v>
      </c>
      <c r="K65" t="s">
        <v>48</v>
      </c>
      <c r="L65" s="10">
        <v>25</v>
      </c>
      <c r="M65" s="10">
        <f>Table1[[#This Row],[CurrentAge]]-Table1[[#This Row],[AgeStart]]</f>
        <v>9</v>
      </c>
      <c r="N65" t="s">
        <v>40</v>
      </c>
      <c r="O65" t="s">
        <v>57</v>
      </c>
      <c r="P65" s="13" t="s">
        <v>58</v>
      </c>
      <c r="Q65" s="13" t="s">
        <v>128</v>
      </c>
      <c r="R65" s="13" t="s">
        <v>43</v>
      </c>
      <c r="S65" s="13" t="s">
        <v>71</v>
      </c>
      <c r="T65" s="15">
        <v>0</v>
      </c>
      <c r="U65" s="15">
        <v>0</v>
      </c>
      <c r="V65" s="15">
        <v>0</v>
      </c>
      <c r="W65" s="15">
        <v>0</v>
      </c>
      <c r="X65" s="9">
        <v>1</v>
      </c>
      <c r="Y65" s="10">
        <v>4</v>
      </c>
      <c r="Z65" s="10">
        <v>4</v>
      </c>
      <c r="AA65" s="10">
        <f t="shared" si="1"/>
        <v>0</v>
      </c>
    </row>
    <row r="66" spans="1:28" ht="20.100000000000001" customHeight="1" x14ac:dyDescent="0.25">
      <c r="A66" s="1">
        <v>71</v>
      </c>
      <c r="B66" s="9">
        <v>1</v>
      </c>
      <c r="C66" s="9">
        <v>64</v>
      </c>
      <c r="D66" s="1">
        <v>91260</v>
      </c>
      <c r="E66" s="10">
        <v>16</v>
      </c>
      <c r="F66" s="11" t="s">
        <v>29</v>
      </c>
      <c r="G66" t="s">
        <v>38</v>
      </c>
      <c r="H66" s="24" t="s">
        <v>174</v>
      </c>
      <c r="I66" t="s">
        <v>39</v>
      </c>
      <c r="J66" s="10">
        <v>10</v>
      </c>
      <c r="K66" t="s">
        <v>48</v>
      </c>
      <c r="L66" s="10">
        <v>28</v>
      </c>
      <c r="M66" s="10">
        <f>Table1[[#This Row],[CurrentAge]]-Table1[[#This Row],[AgeStart]]</f>
        <v>12</v>
      </c>
      <c r="N66" t="s">
        <v>63</v>
      </c>
      <c r="O66" t="s">
        <v>57</v>
      </c>
      <c r="P66" s="13" t="s">
        <v>167</v>
      </c>
      <c r="Q66" s="13" t="s">
        <v>42</v>
      </c>
      <c r="R66" s="13" t="s">
        <v>43</v>
      </c>
      <c r="S66" s="13" t="s">
        <v>120</v>
      </c>
      <c r="T66" s="15">
        <v>2</v>
      </c>
      <c r="U66" s="15">
        <v>0</v>
      </c>
      <c r="V66" s="15">
        <v>0</v>
      </c>
      <c r="W66" s="15">
        <v>0</v>
      </c>
      <c r="X66" s="9">
        <v>1</v>
      </c>
      <c r="Y66" s="10">
        <v>5</v>
      </c>
      <c r="Z66" s="10">
        <v>17</v>
      </c>
      <c r="AA66" s="10">
        <f t="shared" ref="AA66:AA71" si="2">Y66-Z66</f>
        <v>-12</v>
      </c>
    </row>
    <row r="67" spans="1:28" ht="20.100000000000001" customHeight="1" x14ac:dyDescent="0.25">
      <c r="A67" s="1">
        <v>32</v>
      </c>
      <c r="B67" s="9">
        <v>2</v>
      </c>
      <c r="C67" s="9">
        <v>65</v>
      </c>
      <c r="D67" s="1">
        <v>94231</v>
      </c>
      <c r="E67" s="10">
        <v>16</v>
      </c>
      <c r="F67" s="11" t="s">
        <v>29</v>
      </c>
      <c r="G67" t="s">
        <v>38</v>
      </c>
      <c r="H67" s="24" t="s">
        <v>176</v>
      </c>
      <c r="I67" t="s">
        <v>77</v>
      </c>
      <c r="J67" s="10">
        <v>60</v>
      </c>
      <c r="K67" t="s">
        <v>68</v>
      </c>
      <c r="L67" s="10">
        <v>22</v>
      </c>
      <c r="M67" s="10">
        <f>Table1[[#This Row],[CurrentAge]]-Table1[[#This Row],[AgeStart]]</f>
        <v>6</v>
      </c>
      <c r="N67" t="s">
        <v>95</v>
      </c>
      <c r="O67" t="s">
        <v>33</v>
      </c>
      <c r="P67" s="12" t="s">
        <v>127</v>
      </c>
      <c r="Q67" s="13" t="s">
        <v>42</v>
      </c>
      <c r="R67" s="13" t="s">
        <v>97</v>
      </c>
      <c r="S67" s="13" t="s">
        <v>161</v>
      </c>
      <c r="T67" s="14">
        <v>-1</v>
      </c>
      <c r="U67" s="15">
        <v>0</v>
      </c>
      <c r="V67" s="15">
        <v>0</v>
      </c>
      <c r="W67" s="15">
        <v>0</v>
      </c>
      <c r="X67" s="9">
        <v>1</v>
      </c>
      <c r="Y67" s="10">
        <v>7</v>
      </c>
      <c r="Z67" s="10">
        <v>13</v>
      </c>
      <c r="AA67" s="10">
        <f t="shared" si="2"/>
        <v>-6</v>
      </c>
    </row>
    <row r="68" spans="1:28" ht="20.100000000000001" customHeight="1" x14ac:dyDescent="0.25">
      <c r="A68" s="1">
        <v>18</v>
      </c>
      <c r="B68" s="9">
        <v>3</v>
      </c>
      <c r="C68" s="9">
        <v>66</v>
      </c>
      <c r="D68" s="1">
        <v>95397</v>
      </c>
      <c r="E68" s="10">
        <v>16</v>
      </c>
      <c r="F68" s="11" t="s">
        <v>29</v>
      </c>
      <c r="G68" t="s">
        <v>46</v>
      </c>
      <c r="H68" s="24" t="s">
        <v>175</v>
      </c>
      <c r="I68" t="s">
        <v>72</v>
      </c>
      <c r="J68" s="10">
        <v>35</v>
      </c>
      <c r="K68" t="s">
        <v>117</v>
      </c>
      <c r="L68" s="10">
        <v>19</v>
      </c>
      <c r="M68" s="10">
        <f>Table1[[#This Row],[CurrentAge]]-Table1[[#This Row],[AgeStart]]</f>
        <v>3</v>
      </c>
      <c r="N68" t="s">
        <v>49</v>
      </c>
      <c r="O68" t="s">
        <v>33</v>
      </c>
      <c r="P68" s="13" t="s">
        <v>41</v>
      </c>
      <c r="Q68" s="13" t="s">
        <v>65</v>
      </c>
      <c r="R68" s="12" t="s">
        <v>34</v>
      </c>
      <c r="S68" s="13" t="s">
        <v>96</v>
      </c>
      <c r="T68" s="15">
        <v>0</v>
      </c>
      <c r="U68" s="15">
        <v>0</v>
      </c>
      <c r="V68" s="14">
        <v>-1</v>
      </c>
      <c r="W68" s="15">
        <v>2</v>
      </c>
      <c r="X68" s="9">
        <v>1</v>
      </c>
      <c r="Y68" s="10">
        <v>8</v>
      </c>
      <c r="Z68" s="9">
        <v>11</v>
      </c>
      <c r="AA68" s="10">
        <f t="shared" si="2"/>
        <v>-3</v>
      </c>
    </row>
    <row r="69" spans="1:28" ht="20.100000000000001" customHeight="1" x14ac:dyDescent="0.25">
      <c r="A69" s="1">
        <v>47</v>
      </c>
      <c r="B69" s="9">
        <v>1</v>
      </c>
      <c r="C69" s="9">
        <v>67</v>
      </c>
      <c r="D69" s="1">
        <v>95985</v>
      </c>
      <c r="E69" s="10">
        <v>17</v>
      </c>
      <c r="F69" s="11" t="s">
        <v>45</v>
      </c>
      <c r="G69" t="s">
        <v>62</v>
      </c>
      <c r="H69" s="24" t="s">
        <v>174</v>
      </c>
      <c r="I69" t="s">
        <v>31</v>
      </c>
      <c r="J69" s="10">
        <v>15</v>
      </c>
      <c r="K69" t="s">
        <v>48</v>
      </c>
      <c r="L69" s="10">
        <v>24</v>
      </c>
      <c r="M69" s="10">
        <f>Table1[[#This Row],[CurrentAge]]-Table1[[#This Row],[AgeStart]]</f>
        <v>7</v>
      </c>
      <c r="N69" t="s">
        <v>63</v>
      </c>
      <c r="O69" t="s">
        <v>33</v>
      </c>
      <c r="P69" s="13" t="s">
        <v>58</v>
      </c>
      <c r="Q69" s="13" t="s">
        <v>168</v>
      </c>
      <c r="R69" s="13" t="s">
        <v>66</v>
      </c>
      <c r="S69" s="13" t="s">
        <v>71</v>
      </c>
      <c r="T69" s="15">
        <v>0</v>
      </c>
      <c r="U69" s="15">
        <v>2</v>
      </c>
      <c r="V69" s="15">
        <v>0</v>
      </c>
      <c r="W69" s="15">
        <v>0</v>
      </c>
      <c r="X69" s="15">
        <v>1</v>
      </c>
      <c r="Y69" s="10">
        <v>5</v>
      </c>
      <c r="Z69" s="10">
        <v>6</v>
      </c>
      <c r="AA69" s="10">
        <f t="shared" si="2"/>
        <v>-1</v>
      </c>
    </row>
    <row r="70" spans="1:28" ht="20.100000000000001" customHeight="1" x14ac:dyDescent="0.25">
      <c r="A70" s="1">
        <v>10</v>
      </c>
      <c r="B70" s="9">
        <v>2</v>
      </c>
      <c r="C70" s="9">
        <v>68</v>
      </c>
      <c r="D70" s="1">
        <v>96194</v>
      </c>
      <c r="E70" s="10">
        <v>16</v>
      </c>
      <c r="F70" s="11" t="s">
        <v>29</v>
      </c>
      <c r="G70" t="s">
        <v>169</v>
      </c>
      <c r="H70" s="24" t="s">
        <v>174</v>
      </c>
      <c r="I70" t="s">
        <v>47</v>
      </c>
      <c r="J70" s="10">
        <v>20</v>
      </c>
      <c r="K70" t="s">
        <v>48</v>
      </c>
      <c r="L70" s="10">
        <v>24</v>
      </c>
      <c r="M70" s="10">
        <f>Table1[[#This Row],[CurrentAge]]-Table1[[#This Row],[AgeStart]]</f>
        <v>8</v>
      </c>
      <c r="N70" t="s">
        <v>95</v>
      </c>
      <c r="O70" t="s">
        <v>33</v>
      </c>
      <c r="P70" s="13" t="s">
        <v>43</v>
      </c>
      <c r="Q70" s="13" t="s">
        <v>170</v>
      </c>
      <c r="R70" s="13" t="s">
        <v>43</v>
      </c>
      <c r="S70" s="13" t="s">
        <v>71</v>
      </c>
      <c r="T70" s="15">
        <v>0</v>
      </c>
      <c r="U70" s="15">
        <v>1</v>
      </c>
      <c r="V70" s="15">
        <v>0</v>
      </c>
      <c r="W70" s="15">
        <v>0</v>
      </c>
      <c r="X70" s="9">
        <v>1</v>
      </c>
      <c r="Y70" s="10">
        <v>3</v>
      </c>
      <c r="Z70" s="9">
        <v>15</v>
      </c>
      <c r="AA70" s="10">
        <f t="shared" si="2"/>
        <v>-12</v>
      </c>
      <c r="AB70" s="16" t="s">
        <v>171</v>
      </c>
    </row>
    <row r="71" spans="1:28" ht="20.100000000000001" customHeight="1" x14ac:dyDescent="0.25">
      <c r="A71" s="1">
        <v>24</v>
      </c>
      <c r="B71" s="9">
        <v>2</v>
      </c>
      <c r="C71" s="9">
        <v>69</v>
      </c>
      <c r="D71" s="1">
        <v>96679</v>
      </c>
      <c r="E71" s="10">
        <v>17</v>
      </c>
      <c r="F71" s="11" t="s">
        <v>29</v>
      </c>
      <c r="G71" t="s">
        <v>67</v>
      </c>
      <c r="H71" s="24" t="s">
        <v>175</v>
      </c>
      <c r="I71" t="s">
        <v>72</v>
      </c>
      <c r="J71" s="10">
        <v>50</v>
      </c>
      <c r="K71" t="s">
        <v>117</v>
      </c>
      <c r="L71" s="10">
        <v>20</v>
      </c>
      <c r="M71" s="10">
        <f>Table1[[#This Row],[CurrentAge]]-Table1[[#This Row],[AgeStart]]</f>
        <v>3</v>
      </c>
      <c r="N71" t="s">
        <v>49</v>
      </c>
      <c r="O71" t="s">
        <v>57</v>
      </c>
      <c r="P71" s="13" t="s">
        <v>43</v>
      </c>
      <c r="Q71" s="13" t="s">
        <v>61</v>
      </c>
      <c r="R71" s="13" t="s">
        <v>43</v>
      </c>
      <c r="S71" s="13" t="s">
        <v>73</v>
      </c>
      <c r="T71" s="15">
        <v>0</v>
      </c>
      <c r="U71" s="15">
        <v>1</v>
      </c>
      <c r="V71" s="15">
        <v>0</v>
      </c>
      <c r="W71" s="15">
        <v>1</v>
      </c>
      <c r="X71" s="9">
        <v>1</v>
      </c>
      <c r="Y71" s="10">
        <v>6</v>
      </c>
      <c r="Z71" s="10">
        <v>10</v>
      </c>
      <c r="AA71" s="10">
        <f t="shared" si="2"/>
        <v>-4</v>
      </c>
    </row>
    <row r="72" spans="1:28" ht="19.5" customHeight="1" x14ac:dyDescent="0.25">
      <c r="A72" s="1"/>
      <c r="B72" s="17"/>
      <c r="C72" s="17"/>
      <c r="D72" s="1"/>
      <c r="E72" s="18"/>
      <c r="J72" s="18"/>
      <c r="L72" s="18"/>
      <c r="M72" s="18"/>
      <c r="P72" s="13"/>
      <c r="Q72" s="13"/>
      <c r="R72" s="13"/>
      <c r="S72" s="13"/>
      <c r="T72" s="19"/>
      <c r="U72" s="19"/>
      <c r="V72" s="19"/>
      <c r="W72" s="19"/>
      <c r="X72" s="17"/>
      <c r="Y72" s="18"/>
      <c r="Z72" s="18"/>
      <c r="AA72" s="18"/>
    </row>
    <row r="73" spans="1:28" ht="19.5" customHeight="1" x14ac:dyDescent="0.25">
      <c r="A73" s="1"/>
      <c r="B73" s="17"/>
      <c r="C73" s="17"/>
      <c r="D73" s="1"/>
      <c r="E73" s="18"/>
      <c r="J73" s="18"/>
      <c r="L73" s="18"/>
      <c r="M73" s="18"/>
      <c r="P73" s="13"/>
      <c r="Q73" s="13"/>
      <c r="R73" s="13"/>
      <c r="S73" s="13"/>
      <c r="T73" s="19"/>
      <c r="U73" s="19"/>
      <c r="V73" s="19"/>
      <c r="W73" s="19"/>
      <c r="X73" s="17"/>
      <c r="Y73" s="18"/>
      <c r="Z73" s="18"/>
      <c r="AA73" s="18"/>
    </row>
    <row r="74" spans="1:28" ht="19.5" customHeight="1" x14ac:dyDescent="0.25">
      <c r="A74" s="1"/>
      <c r="B74" s="17"/>
      <c r="C74" s="17"/>
      <c r="D74" s="1"/>
      <c r="E74" s="18"/>
      <c r="J74" s="18"/>
      <c r="L74" s="18"/>
      <c r="M74" s="18"/>
      <c r="P74" s="13"/>
      <c r="Q74" s="13"/>
      <c r="R74" s="13"/>
      <c r="S74" s="13"/>
      <c r="T74" s="19"/>
      <c r="U74" s="19"/>
      <c r="V74" s="19"/>
      <c r="W74" s="19"/>
      <c r="X74" s="17"/>
      <c r="Y74" s="18"/>
      <c r="Z74" s="18"/>
      <c r="AA74" s="18"/>
    </row>
    <row r="75" spans="1:28" ht="45" customHeight="1" x14ac:dyDescent="0.25">
      <c r="A75" s="1"/>
      <c r="B75" s="17"/>
      <c r="C75" s="17"/>
      <c r="D75" s="1"/>
      <c r="E75" s="18"/>
      <c r="J75" s="18"/>
      <c r="L75" s="18"/>
      <c r="M75" s="18"/>
      <c r="P75" s="13"/>
      <c r="Q75" s="13"/>
      <c r="R75" s="13"/>
      <c r="S75" s="13"/>
      <c r="T75" s="19"/>
      <c r="U75" s="19"/>
      <c r="V75" s="19"/>
      <c r="W75" s="19"/>
      <c r="X75" s="17"/>
      <c r="Y75" s="18"/>
      <c r="Z75" s="18"/>
      <c r="AA75" s="18"/>
    </row>
    <row r="76" spans="1:28" ht="19.5" customHeight="1" x14ac:dyDescent="0.25">
      <c r="A76" s="1"/>
      <c r="B76" s="17"/>
      <c r="C76" s="17"/>
      <c r="D76" s="1"/>
      <c r="E76" s="18"/>
      <c r="J76" s="18"/>
      <c r="L76" s="18"/>
      <c r="M76" s="18"/>
      <c r="P76" s="13"/>
      <c r="Q76" s="13"/>
      <c r="R76" s="13"/>
      <c r="S76" s="13"/>
      <c r="T76" s="19"/>
      <c r="U76" s="19"/>
      <c r="V76" s="19"/>
      <c r="W76" s="19"/>
      <c r="X76" s="17"/>
      <c r="Y76" s="18"/>
      <c r="Z76" s="18"/>
      <c r="AA76" s="18"/>
    </row>
    <row r="77" spans="1:28" ht="45.75" customHeight="1" x14ac:dyDescent="0.25">
      <c r="A77" s="1"/>
      <c r="B77" s="17"/>
      <c r="C77" s="17"/>
      <c r="D77" s="1"/>
      <c r="E77" s="18"/>
      <c r="J77" s="18"/>
      <c r="L77" s="18"/>
      <c r="M77" s="18"/>
      <c r="P77" s="13"/>
      <c r="Q77" s="13"/>
      <c r="R77" s="13"/>
      <c r="S77" s="13"/>
      <c r="T77" s="19"/>
      <c r="U77" s="19"/>
      <c r="V77" s="19"/>
      <c r="W77" s="19"/>
      <c r="X77" s="17"/>
      <c r="Y77" s="18"/>
      <c r="Z77" s="18"/>
      <c r="AA77" s="1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6"/>
  <sheetViews>
    <sheetView workbookViewId="0"/>
  </sheetViews>
  <sheetFormatPr defaultRowHeight="15" x14ac:dyDescent="0.25"/>
  <cols>
    <col min="1" max="1" width="20.42578125" bestFit="1" customWidth="1"/>
    <col min="2" max="2" width="14.28515625" style="2" bestFit="1" customWidth="1"/>
  </cols>
  <sheetData>
    <row r="1" spans="1:2" ht="19.5" customHeight="1" x14ac:dyDescent="0.25">
      <c r="B1" s="1"/>
    </row>
    <row r="2" spans="1:2" ht="19.5" customHeight="1" x14ac:dyDescent="0.25">
      <c r="B2" s="1"/>
    </row>
    <row r="3" spans="1:2" ht="19.5" customHeight="1" x14ac:dyDescent="0.25">
      <c r="A3" t="s">
        <v>0</v>
      </c>
      <c r="B3" s="1" t="s">
        <v>1</v>
      </c>
    </row>
    <row r="4" spans="1:2" ht="19.5" customHeight="1" x14ac:dyDescent="0.25">
      <c r="A4" t="s">
        <v>2</v>
      </c>
      <c r="B4" s="1">
        <v>52</v>
      </c>
    </row>
    <row r="5" spans="1:2" ht="19.5" customHeight="1" x14ac:dyDescent="0.25">
      <c r="A5" t="s">
        <v>3</v>
      </c>
      <c r="B5" s="1">
        <v>66</v>
      </c>
    </row>
    <row r="6" spans="1:2" ht="19.5" customHeight="1" x14ac:dyDescent="0.25">
      <c r="A6" t="s">
        <v>4</v>
      </c>
      <c r="B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Summary</vt:lpstr>
      <vt:lpstr>DataInfo</vt:lpstr>
      <vt:lpstr>Summary!_FilterDatabase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Erich MacLean</cp:lastModifiedBy>
  <dcterms:created xsi:type="dcterms:W3CDTF">2025-04-08T20:14:53Z</dcterms:created>
  <dcterms:modified xsi:type="dcterms:W3CDTF">2025-04-09T03:28:23Z</dcterms:modified>
</cp:coreProperties>
</file>